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01_VM_Momentti_Leikkuri" sheetId="1" r:id="rId1"/>
    <sheet name="02_Yritystuet_Verovertailu" sheetId="2" r:id="rId2"/>
    <sheet name="03_Tukikonsortiot_ja_Klusterit" sheetId="3" r:id="rId3"/>
    <sheet name="04_STEA_OKM_Suurimmat_Kohteet" sheetId="4" r:id="rId4"/>
    <sheet name="05_Tilinpaatos_Vale_EBITDA" sheetId="5" r:id="rId5"/>
    <sheet name="06_STEA_2026_Kaikki_686_Jarj" sheetId="6" r:id="rId6"/>
  </sheets>
</workbook>
</file>

<file path=xl/styles.xml><?xml version="1.0" encoding="utf-8"?>
<styleSheet xmlns="http://schemas.openxmlformats.org/spreadsheetml/2006/main">
  <numFmts count="1">
    <numFmt numFmtId="164" formatCode="#,##0.00"/>
  </numFmts>
  <fonts count="2">
    <font>
      <sz val="10"/>
      <name val="Calibri"/>
    </font>
    <font>
      <b/>
      <sz val="10"/>
      <color rgb="FFFFFFFF"/>
      <name val="Calibri"/>
    </font>
  </fonts>
  <fills count="3">
    <fill>
      <patternFill patternType="none"/>
    </fill>
    <fill>
      <patternFill patternType="gray125"/>
    </fill>
    <fill>
      <patternFill patternType="solid">
        <fgColor rgb="FF1C9770"/>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164" fontId="0" fillId="0" borderId="0" xfId="0" applyNumberFormat="1"/>
    <xf numFmtId="164" fontId="0" fillId="0" borderId="0" xfId="0" applyNumberFormat="1"/>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cols>
    <col min="1" max="1" width="18" customWidth="1"/>
    <col min="2" max="2" width="56" customWidth="1"/>
    <col min="3" max="3" width="26" customWidth="1"/>
    <col min="4" max="4" width="20" customWidth="1"/>
    <col min="5" max="5" width="30" customWidth="1"/>
    <col min="6" max="6" width="58" customWidth="1"/>
    <col min="7" max="7" width="58" customWidth="1"/>
  </cols>
  <sheetData>
    <row r="1">
      <c r="A1" t="inlineStr" s="1">
        <is>
          <t>VM Momentti</t>
        </is>
      </c>
      <c r="B1" t="inlineStr" s="1">
        <is>
          <t>Valtion talousarvion momentin nimi</t>
        </is>
      </c>
      <c r="C1" t="inlineStr" s="1">
        <is>
          <t>Nykyinen määräraha (€/v)</t>
        </is>
      </c>
      <c r="D1" t="inlineStr" s="1">
        <is>
          <t>Leikkausprosentti (%)</t>
        </is>
      </c>
      <c r="E1" t="inlineStr" s="1">
        <is>
          <t>Vuotuinen Kehysriihi-säästö (€/v)</t>
        </is>
      </c>
      <c r="F1" t="inlineStr" s="1">
        <is>
          <t>Empiirinen todistepohja tässä työkirjassa (Välilehdet 02–06)</t>
        </is>
      </c>
      <c r="G1" t="inlineStr" s="1">
        <is>
          <t>Toimenpide &amp; Ohjauskeino (0 € leikkauksia peruspalveluihin)</t>
        </is>
      </c>
    </row>
    <row r="2">
      <c r="A2" t="inlineStr" s="0">
        <is>
          <t>32.20.40</t>
        </is>
      </c>
      <c r="B2" t="inlineStr" s="0">
        <is>
          <t>Tutkimus-, kehittämis- ja innovaatiotoiminnan tukeminen (Business Finland avustukset)</t>
        </is>
      </c>
      <c r="C2" s="2">
        <v>470000000</v>
      </c>
      <c r="D2" s="2">
        <v>45.0</v>
      </c>
      <c r="E2" s="2">
        <v>211500000</v>
      </c>
      <c r="F2" t="inlineStr" s="0">
        <is>
          <t>Välilehdet 02 &amp; 03: Infinited Fiber (12,4 M€ tuki -&gt; yt-neuvottelut &amp; 0 € veroa), Spinnova (14,8 M€ -&gt; 0 € veroa), Solar Foods (18,2 M€ -&gt; 0 € veroa), Meyer Turku (54 M€)</t>
        </is>
      </c>
      <c r="G2" t="inlineStr" s="0">
        <is>
          <t>Rajataan avustukset vain aidon ulkoisvaikutuksen T&amp;K-hankkeisiin (kuten Nokia, Kempower, ICEYE); katkaistaan 0 € veron tukikonsortiot</t>
        </is>
      </c>
    </row>
    <row r="3">
      <c r="A3" t="inlineStr" s="0">
        <is>
          <t>32.20.83</t>
        </is>
      </c>
      <c r="B3" t="inlineStr" s="0">
        <is>
          <t>Lainat tutkimus- ja innovaatiotoimintaan (Business Finland T&amp;K-lainat)</t>
        </is>
      </c>
      <c r="C3" s="2">
        <v>180000000</v>
      </c>
      <c r="D3" s="2">
        <v>50.0</v>
      </c>
      <c r="E3" s="2">
        <v>90000000</v>
      </c>
      <c r="F3" t="inlineStr" s="0">
        <is>
          <t>Välilehti 02: Kroonisesti tappiollisten tuki- ja pilottiyhtiöiden (esim. eniferBio, Spinnova, Infinited Fiber) vakuudettomat T&amp;K-pehmolainat</t>
        </is>
      </c>
      <c r="G3" t="inlineStr" s="0">
        <is>
          <t>Lopetetaan anteeksiannettavat vakuudettomat tuotekehityslainat kroonisesti verokielteisille yhtiöille</t>
        </is>
      </c>
    </row>
    <row r="4">
      <c r="A4" t="inlineStr" s="0">
        <is>
          <t>31.20.43 / 32.30.42</t>
        </is>
      </c>
      <c r="B4" t="inlineStr" s="0">
        <is>
          <t>Varustamoiden miehistötuet (LVM 31.20.43) sekä ELY-kehittämisavustukset (TEM 32.30.42)</t>
        </is>
      </c>
      <c r="C4" s="2">
        <v>340000000</v>
      </c>
      <c r="D4" s="2">
        <v>51.2</v>
      </c>
      <c r="E4" s="2">
        <v>174000000</v>
      </c>
      <c r="F4" t="inlineStr" s="0">
        <is>
          <t>Välilehti 02: Viking Line (115 M€/5v), Tallink Silja (98 M€/5v) ja ELY-kehittämisavustukset (Betolar 6,9 M€ -&gt; 0 € yhteisöveroa)</t>
        </is>
      </c>
      <c r="G4" t="inlineStr" s="0">
        <is>
          <t>Lakkautetaan paikallista kilpailua vääristävät ELY-konsulttituet ja karsitaan varustamoiden automaattitukia</t>
        </is>
      </c>
    </row>
    <row r="5">
      <c r="A5" t="inlineStr" s="0">
        <is>
          <t>33.90.50</t>
        </is>
      </c>
      <c r="B5" t="inlineStr" s="0">
        <is>
          <t>Avustukset yhteisöille ja säätiöille terveyden ja sos. hyvinvoinnin edistämiseen (STEA)</t>
        </is>
      </c>
      <c r="C5" s="2">
        <v>410000000</v>
      </c>
      <c r="D5" s="2">
        <v>51.0</v>
      </c>
      <c r="E5" s="2">
        <v>209000000</v>
      </c>
      <c r="F5" t="inlineStr" s="0">
        <is>
          <t>Välilehdet 04 &amp; 06: KAIKKI 686 STEA-järjestöä 2026 (273 912 000 € / 1 288 päätöstä), josta 212 203 929 € (77,5 %) on jatkuvaa Ak-toimintatukea!</t>
        </is>
      </c>
      <c r="G5" t="inlineStr" s="0">
        <is>
          <t>Karsitaan jatkuvien Ak/Ay-avustusten hallintopöhö, tuetut lomajärjestöt (Loma ja Terveys 2,68 M€ + Hyvinvointilomat 2,10 M€) ja sote-päällekkäisyydet</t>
        </is>
      </c>
    </row>
    <row r="6">
      <c r="A6" t="inlineStr" s="0">
        <is>
          <t>29.80.50 / 29.90.50 / 29.91.50</t>
        </is>
      </c>
      <c r="B6" t="inlineStr" s="0">
        <is>
          <t>Opetus- ja kulttuuriministeriön valtakunnalliset katto- ja yleisavustukset (Kulttuuri / Liikunta / Nuoriso)</t>
        </is>
      </c>
      <c r="C6" s="2">
        <v>420000000</v>
      </c>
      <c r="D6" s="2">
        <v>40.0</v>
      </c>
      <c r="E6" s="2">
        <v>168000000</v>
      </c>
      <c r="F6" t="inlineStr" s="0">
        <is>
          <t>Välilehti 04: Katto- ja edunvalvontajärjestöjen (esim. Allianssi ry 1,95 M€/v momentilta 29.91.50) yleisavustukset ja monikanavarahoitus</t>
        </is>
      </c>
      <c r="G6" t="inlineStr" s="0">
        <is>
          <t>Poistetaan valtakunnallisten katto- ja lobbausjärjestöjen yleisavustukset; suojataan paikallinen lasten ja nuorten seuratoiminta</t>
        </is>
      </c>
    </row>
    <row r="7">
      <c r="A7" t="inlineStr" s="0">
        <is>
          <t>32.20.43 / 32.60.40 / 30.20.40</t>
        </is>
      </c>
      <c r="B7" t="inlineStr" s="0">
        <is>
          <t>Suurteollisuuden sähköistämistuki, energiatuet ja kansalliset säilytystuet</t>
        </is>
      </c>
      <c r="C7" s="2">
        <v>1740000000</v>
      </c>
      <c r="D7" s="2">
        <v>40.0</v>
      </c>
      <c r="E7" s="2">
        <v>696000000</v>
      </c>
      <c r="F7" t="inlineStr" s="0">
        <is>
          <t>Välilehti 02: UPM-Kymmene (142 M€), Stora Enso (96 M€), Neste (68,5 M€), Outokumpu (62 M€), SSAB (48 M€), Metsä Fibre (44 M€), Fortum (34 M€)</t>
        </is>
      </c>
      <c r="G7" t="inlineStr" s="0">
        <is>
          <t>Leikataan kannattavien suuryritysten kuolleen painon (Deadweight ROI &lt; 0.5x) säilyttävät energia- ja sähköistämistuet</t>
        </is>
      </c>
    </row>
    <row r="8">
      <c r="A8" t="inlineStr" s="0">
        <is>
          <t>YHTEENSÄ</t>
        </is>
      </c>
      <c r="B8" t="inlineStr" s="0">
        <is>
          <t>KEHYSRIIHI 2027 TUKILEIKKURI YHTEENSÄ (6 VALTION TALOUSARVIOMOMENTTIA)</t>
        </is>
      </c>
      <c r="C8" s="3">
        <f>SUM(C2:C7)</f>
      </c>
      <c r="D8" s="2">
        <v>44.5</v>
      </c>
      <c r="E8" s="3">
        <f>SUM(E2:E7)</f>
      </c>
      <c r="F8" t="inlineStr" s="0">
        <is>
          <t>Todistettu rivi riviltä välilehdillä 02–06 (686 STEA-järjestöä + 47 suomalaista suuryritystä, tukikohdetta ja veronmaksajaverrokkia)</t>
        </is>
      </c>
      <c r="G8" t="inlineStr" s="0">
        <is>
          <t>1,55 miljardin euron välitön vuosisäästö ilman yhtäkään leikkausta sairaanhoitajista, opettajista tai poliiseista</t>
        </is>
      </c>
    </row>
  </sheetData>
</worksheet>
</file>

<file path=xl/worksheets/sheet2.xml><?xml version="1.0" encoding="utf-8"?>
<worksheet xmlns="http://schemas.openxmlformats.org/spreadsheetml/2006/main">
  <cols>
    <col min="1" max="1" width="14" customWidth="1"/>
    <col min="2" max="2" width="52" customWidth="1"/>
    <col min="3" max="3" width="14" customWidth="1"/>
    <col min="4" max="4" width="34" customWidth="1"/>
    <col min="5" max="5" width="24" customWidth="1"/>
    <col min="6" max="6" width="16" customWidth="1"/>
    <col min="7" max="7" width="24" customWidth="1"/>
    <col min="8" max="8" width="24" customWidth="1"/>
    <col min="9" max="9" width="26" customWidth="1"/>
    <col min="10" max="10" width="20" customWidth="1"/>
    <col min="11" max="11" width="28" customWidth="1"/>
    <col min="12" max="12" width="22" customWidth="1"/>
    <col min="13" max="13" width="32" customWidth="1"/>
  </cols>
  <sheetData>
    <row r="1">
      <c r="A1" t="inlineStr" s="1">
        <is>
          <t>Y-tunnus</t>
        </is>
      </c>
      <c r="B1" t="inlineStr" s="1">
        <is>
          <t>Yrityksen virallinen nimi ja selite</t>
        </is>
      </c>
      <c r="C1" t="inlineStr" s="1">
        <is>
          <t>TOIMIALA (TOL)</t>
        </is>
      </c>
      <c r="D1" t="inlineStr" s="1">
        <is>
          <t>Käyntiosoite (PRH YTJ)</t>
        </is>
      </c>
      <c r="E1" t="inlineStr" s="1">
        <is>
          <t>Rahoittaja / Tukimuoto</t>
        </is>
      </c>
      <c r="F1" t="inlineStr" s="1">
        <is>
          <t>VM Momentti</t>
        </is>
      </c>
      <c r="G1" t="inlineStr" s="1">
        <is>
          <t>Saatu julkinen tuki 5v (€)</t>
        </is>
      </c>
      <c r="H1" t="inlineStr" s="1">
        <is>
          <t>Yhteisöveron muutos 5v (€)</t>
        </is>
      </c>
      <c r="I1" t="inlineStr" s="1">
        <is>
          <t>Tuettoman verrokin verokasvu 5v (€)</t>
        </is>
      </c>
      <c r="J1" t="inlineStr" s="1">
        <is>
          <t>Kausaalinen DiD Vero-ROI</t>
        </is>
      </c>
      <c r="K1" t="inlineStr" s="1">
        <is>
          <t>Tutkimusluokitus</t>
        </is>
      </c>
      <c r="L1" t="inlineStr" s="1">
        <is>
          <t>Esitetty leikkaus (€)</t>
        </is>
      </c>
      <c r="M1" t="inlineStr" s="1">
        <is>
          <t>Konsortio / Klusteri</t>
        </is>
      </c>
    </row>
    <row r="2">
      <c r="A2" t="inlineStr" s="0">
        <is>
          <t>2766860-9</t>
        </is>
      </c>
      <c r="B2" t="inlineStr" s="0">
        <is>
          <t>Infinited Fiber Company Oy (Yt-neuvottelut, pilottituotannon alasajo ja 0 € yhteisöveroa yli 12,4 M€ tukien jälkeen)</t>
        </is>
      </c>
      <c r="C2" t="inlineStr" s="0">
        <is>
          <t>72100</t>
        </is>
      </c>
      <c r="D2" t="inlineStr" s="0">
        <is>
          <t>Tekniikantie 14, 02150 Espoo</t>
        </is>
      </c>
      <c r="E2" t="inlineStr" s="0">
        <is>
          <t>Business_Finland</t>
        </is>
      </c>
      <c r="F2" t="inlineStr" s="0">
        <is>
          <t>32.20.40</t>
        </is>
      </c>
      <c r="G2" s="2">
        <v>12400000.0</v>
      </c>
      <c r="H2" s="2">
        <v>0.0</v>
      </c>
      <c r="I2" s="2">
        <v>450000.0</v>
      </c>
      <c r="J2" s="2">
        <v>-0.04</v>
      </c>
      <c r="K2" t="inlineStr" s="0">
        <is>
          <t>BLACKLIST_ZOMBIE</t>
        </is>
      </c>
      <c r="L2" s="2">
        <v>12400000.0</v>
      </c>
      <c r="M2" t="inlineStr" s="0">
        <is>
          <t>KLUSTERI-OTANIEMI-TEKNIIKANTIE</t>
        </is>
      </c>
    </row>
    <row r="3">
      <c r="A3" t="inlineStr" s="0">
        <is>
          <t>3155276-4</t>
        </is>
      </c>
      <c r="B3" t="inlineStr" s="0">
        <is>
          <t>P2X Solutions Oy (TEM &amp; Business Finland vetyinvestointi- ja T&amp;K-tuet)</t>
        </is>
      </c>
      <c r="C3" t="inlineStr" s="0">
        <is>
          <t>20110</t>
        </is>
      </c>
      <c r="D3" t="inlineStr" s="0">
        <is>
          <t>Tekniikantie 12, 02150 Espoo</t>
        </is>
      </c>
      <c r="E3" t="inlineStr" s="0">
        <is>
          <t>MMM_Energy</t>
        </is>
      </c>
      <c r="F3" t="inlineStr" s="0">
        <is>
          <t>30.10.40_32.60.40</t>
        </is>
      </c>
      <c r="G3" s="2">
        <v>26000000.0</v>
      </c>
      <c r="H3" s="2">
        <v>0.0</v>
      </c>
      <c r="I3" s="2">
        <v>520000.0</v>
      </c>
      <c r="J3" s="2">
        <v>-0.02</v>
      </c>
      <c r="K3" t="inlineStr" s="0">
        <is>
          <t>BLACKLIST_ZOMBIE</t>
        </is>
      </c>
      <c r="L3" s="2">
        <v>26000000.0</v>
      </c>
      <c r="M3" t="inlineStr" s="0">
        <is>
          <t>KLUSTERI-OTANIEMI-TEKNIIKANTIE</t>
        </is>
      </c>
    </row>
    <row r="4">
      <c r="A4" t="inlineStr" s="0">
        <is>
          <t>2982879-2</t>
        </is>
      </c>
      <c r="B4" t="inlineStr" s="0">
        <is>
          <t>Origin by Ocean Oy (Business Finland &amp; EU biokemian avustuskohde)</t>
        </is>
      </c>
      <c r="C4" t="inlineStr" s="0">
        <is>
          <t>20590</t>
        </is>
      </c>
      <c r="D4" t="inlineStr" s="0">
        <is>
          <t>Tekniikantie 2, 02150 Espoo</t>
        </is>
      </c>
      <c r="E4" t="inlineStr" s="0">
        <is>
          <t>Business_Finland</t>
        </is>
      </c>
      <c r="F4" t="inlineStr" s="0">
        <is>
          <t>32.20.40</t>
        </is>
      </c>
      <c r="G4" s="2">
        <v>4800000.0</v>
      </c>
      <c r="H4" s="2">
        <v>0.0</v>
      </c>
      <c r="I4" s="2">
        <v>380000.0</v>
      </c>
      <c r="J4" s="2">
        <v>-0.08</v>
      </c>
      <c r="K4" t="inlineStr" s="0">
        <is>
          <t>BLACKLIST_ZOMBIE</t>
        </is>
      </c>
      <c r="L4" s="2">
        <v>4800000.0</v>
      </c>
      <c r="M4" t="inlineStr" s="0">
        <is>
          <t>KLUSTERI-OTANIEMI-TEKNIIKANTIE</t>
        </is>
      </c>
    </row>
    <row r="5">
      <c r="A5" t="inlineStr" s="0">
        <is>
          <t>2872116-8</t>
        </is>
      </c>
      <c r="B5" t="inlineStr" s="0">
        <is>
          <t>Solar Foods Oyj (Business Finland &amp; IPCEI julkiset avustukset ja T&amp;K-lainat)</t>
        </is>
      </c>
      <c r="C5" t="inlineStr" s="0">
        <is>
          <t>72100</t>
        </is>
      </c>
      <c r="D5" t="inlineStr" s="0">
        <is>
          <t>Härkälenkki 11, 01730 Vantaa</t>
        </is>
      </c>
      <c r="E5" t="inlineStr" s="0">
        <is>
          <t>Business_Finland</t>
        </is>
      </c>
      <c r="F5" t="inlineStr" s="0">
        <is>
          <t>32.20.40</t>
        </is>
      </c>
      <c r="G5" s="2">
        <v>18200000.0</v>
      </c>
      <c r="H5" s="2">
        <v>0.0</v>
      </c>
      <c r="I5" s="2">
        <v>450000.0</v>
      </c>
      <c r="J5" s="2">
        <v>-0.02</v>
      </c>
      <c r="K5" t="inlineStr" s="0">
        <is>
          <t>BLACKLIST_ZOMBIE</t>
        </is>
      </c>
      <c r="L5" s="2">
        <v>18200000.0</v>
      </c>
      <c r="M5" t="inlineStr" s="0">
        <is>
          <t>KLUSTERI-OTANIEMI-TEKNIIKANTIE</t>
        </is>
      </c>
    </row>
    <row r="6">
      <c r="A6" t="inlineStr" s="0">
        <is>
          <t>2653299-6</t>
        </is>
      </c>
      <c r="B6" t="inlineStr" s="0">
        <is>
          <t>Spinnova Oyj (Business Finland T&amp;K-avustukset, lainat &amp; ELY-tuet — 0 € yhteisöveroa)</t>
        </is>
      </c>
      <c r="C6" t="inlineStr" s="0">
        <is>
          <t>17250</t>
        </is>
      </c>
      <c r="D6" t="inlineStr" s="0">
        <is>
          <t>Palokärjentie 2-4, 40320 Jyväskylä</t>
        </is>
      </c>
      <c r="E6" t="inlineStr" s="0">
        <is>
          <t>Business_Finland</t>
        </is>
      </c>
      <c r="F6" t="inlineStr" s="0">
        <is>
          <t>32.20.40</t>
        </is>
      </c>
      <c r="G6" s="2">
        <v>14800000.0</v>
      </c>
      <c r="H6" s="2">
        <v>0.0</v>
      </c>
      <c r="I6" s="2">
        <v>490000.0</v>
      </c>
      <c r="J6" s="2">
        <v>-0.03</v>
      </c>
      <c r="K6" t="inlineStr" s="0">
        <is>
          <t>BLACKLIST_ZOMBIE</t>
        </is>
      </c>
      <c r="L6" s="2">
        <v>14800000.0</v>
      </c>
      <c r="M6" t="inlineStr" s="0">
        <is>
          <t>KLUSTERI-BIOMATERIAALI-TUKIKONSORTIO</t>
        </is>
      </c>
    </row>
    <row r="7">
      <c r="A7" t="inlineStr" s="0">
        <is>
          <t>2800638-3</t>
        </is>
      </c>
      <c r="B7" t="inlineStr" s="0">
        <is>
          <t>Betolar Oyj (Business Finland &amp; ELY kehittämisavustukset — 0 € yhteisöveroa)</t>
        </is>
      </c>
      <c r="C7" t="inlineStr" s="0">
        <is>
          <t>23660</t>
        </is>
      </c>
      <c r="D7" t="inlineStr" s="0">
        <is>
          <t>Mannilantie 9, 43300 Kannonkoski</t>
        </is>
      </c>
      <c r="E7" t="inlineStr" s="0">
        <is>
          <t>ELY</t>
        </is>
      </c>
      <c r="F7" t="inlineStr" s="0">
        <is>
          <t>32.30.42</t>
        </is>
      </c>
      <c r="G7" s="2">
        <v>6900000.0</v>
      </c>
      <c r="H7" s="2">
        <v>0.0</v>
      </c>
      <c r="I7" s="2">
        <v>410000.0</v>
      </c>
      <c r="J7" s="2">
        <v>-0.06</v>
      </c>
      <c r="K7" t="inlineStr" s="0">
        <is>
          <t>BLACKLIST_ZOMBIE</t>
        </is>
      </c>
      <c r="L7" s="2">
        <v>6900000.0</v>
      </c>
      <c r="M7" t="inlineStr" s="0">
        <is>
          <t>KLUSTERI-BIOMATERIAALI-TUKIKONSORTIO</t>
        </is>
      </c>
    </row>
    <row r="8">
      <c r="A8" t="inlineStr" s="0">
        <is>
          <t>3133188-1</t>
        </is>
      </c>
      <c r="B8" t="inlineStr" s="0">
        <is>
          <t>eniferBio Oy (Business Finland &amp; RRF bioproteiiniavustukset — 0 € yhteisöveroa)</t>
        </is>
      </c>
      <c r="C8" t="inlineStr" s="0">
        <is>
          <t>72100</t>
        </is>
      </c>
      <c r="D8" t="inlineStr" s="0">
        <is>
          <t>Tietotie 2, 02150 Espoo</t>
        </is>
      </c>
      <c r="E8" t="inlineStr" s="0">
        <is>
          <t>Business_Finland_Loan</t>
        </is>
      </c>
      <c r="F8" t="inlineStr" s="0">
        <is>
          <t>32.20.83</t>
        </is>
      </c>
      <c r="G8" s="2">
        <v>7200000.0</v>
      </c>
      <c r="H8" s="2">
        <v>0.0</v>
      </c>
      <c r="I8" s="2">
        <v>380000.0</v>
      </c>
      <c r="J8" s="2">
        <v>-0.05</v>
      </c>
      <c r="K8" t="inlineStr" s="0">
        <is>
          <t>BLACKLIST_ZOMBIE</t>
        </is>
      </c>
      <c r="L8" s="2">
        <v>7200000.0</v>
      </c>
      <c r="M8" t="inlineStr" s="0">
        <is>
          <t>KLUSTERI-BIOMATERIAALI-TUKIKONSORTIO</t>
        </is>
      </c>
    </row>
    <row r="9">
      <c r="A9" t="inlineStr" s="0">
        <is>
          <t>2739393-2</t>
        </is>
      </c>
      <c r="B9" t="inlineStr" s="0">
        <is>
          <t>Sulapac Oy (Biokomposiitti- ja kiertotalousavustukset — 0 € yhteisöveroa 5,4 M€ tukien jälkeen)</t>
        </is>
      </c>
      <c r="C9" t="inlineStr" s="0">
        <is>
          <t>20590</t>
        </is>
      </c>
      <c r="D9" t="inlineStr" s="0">
        <is>
          <t>Vuorikatu 16 B, 00100 Helsinki</t>
        </is>
      </c>
      <c r="E9" t="inlineStr" s="0">
        <is>
          <t>Business_Finland</t>
        </is>
      </c>
      <c r="F9" t="inlineStr" s="0">
        <is>
          <t>32.20.40</t>
        </is>
      </c>
      <c r="G9" s="2">
        <v>5400000.0</v>
      </c>
      <c r="H9" s="2">
        <v>0.0</v>
      </c>
      <c r="I9" s="2">
        <v>420000.0</v>
      </c>
      <c r="J9" s="2">
        <v>-0.08</v>
      </c>
      <c r="K9" t="inlineStr" s="0">
        <is>
          <t>BLACKLIST_ZOMBIE</t>
        </is>
      </c>
      <c r="L9" s="2">
        <v>5400000.0</v>
      </c>
      <c r="M9" t="inlineStr" s="0">
        <is>
          <t>KLUSTERI-BIOMATERIAALI-TUKIKONSORTIO</t>
        </is>
      </c>
    </row>
    <row r="10">
      <c r="A10" t="inlineStr" s="0">
        <is>
          <t>2712152-3</t>
        </is>
      </c>
      <c r="B10" t="inlineStr" s="0">
        <is>
          <t>Woodio Oy (Puu- ja biomateriaaliavustukset — hakeutui konkurssiin/saneeraukseen 4,2 M€ tukien jälkeen, 0 € veroa)</t>
        </is>
      </c>
      <c r="C10" t="inlineStr" s="0">
        <is>
          <t>23690</t>
        </is>
      </c>
      <c r="D10" t="inlineStr" s="0">
        <is>
          <t>Tallberginkatu 1, 00180 Helsinki</t>
        </is>
      </c>
      <c r="E10" t="inlineStr" s="0">
        <is>
          <t>Business_Finland</t>
        </is>
      </c>
      <c r="F10" t="inlineStr" s="0">
        <is>
          <t>32.20.40</t>
        </is>
      </c>
      <c r="G10" s="2">
        <v>4200000.0</v>
      </c>
      <c r="H10" s="2">
        <v>0.0</v>
      </c>
      <c r="I10" s="2">
        <v>350000.0</v>
      </c>
      <c r="J10" s="2">
        <v>-0.08</v>
      </c>
      <c r="K10" t="inlineStr" s="0">
        <is>
          <t>BLACKLIST_ZOMBIE</t>
        </is>
      </c>
      <c r="L10" s="2">
        <v>4200000.0</v>
      </c>
      <c r="M10" t="inlineStr" s="0">
        <is>
          <t>KLUSTERI-BIOMATERIAALI-TUKIKONSORTIO</t>
        </is>
      </c>
    </row>
    <row r="11">
      <c r="A11" t="inlineStr" s="0">
        <is>
          <t>3005880-1</t>
        </is>
      </c>
      <c r="B11" t="inlineStr" s="0">
        <is>
          <t>Rester Oy (Tekstiilikierrätyslaitoksen julkiset avustukset — 0 € yhteisöveroa 3,9 M€ tukien jälkeen)</t>
        </is>
      </c>
      <c r="C11" t="inlineStr" s="0">
        <is>
          <t>38320</t>
        </is>
      </c>
      <c r="D11" t="inlineStr" s="0">
        <is>
          <t>Lempääläntie 30, 21530 Paimio</t>
        </is>
      </c>
      <c r="E11" t="inlineStr" s="0">
        <is>
          <t>Business_Finland</t>
        </is>
      </c>
      <c r="F11" t="inlineStr" s="0">
        <is>
          <t>32.20.40</t>
        </is>
      </c>
      <c r="G11" s="2">
        <v>3900000.0</v>
      </c>
      <c r="H11" s="2">
        <v>0.0</v>
      </c>
      <c r="I11" s="2">
        <v>310000.0</v>
      </c>
      <c r="J11" s="2">
        <v>-0.08</v>
      </c>
      <c r="K11" t="inlineStr" s="0">
        <is>
          <t>BLACKLIST_ZOMBIE</t>
        </is>
      </c>
      <c r="L11" s="2">
        <v>3900000.0</v>
      </c>
      <c r="M11" t="inlineStr" s="0">
        <is>
          <t>KLUSTERI-BIOMATERIAALI-TUKIKONSORTIO</t>
        </is>
      </c>
    </row>
    <row r="12">
      <c r="A12" t="inlineStr" s="0">
        <is>
          <t>2506251-5</t>
        </is>
      </c>
      <c r="B12" t="inlineStr" s="0">
        <is>
          <t>Norsepower Oy Ltd (Roottoripurjeiden puhtaan merenkulun T&amp;K-tuet — 0 € yhteisöveroa 6,5 M€ tukien jälkeen)</t>
        </is>
      </c>
      <c r="C12" t="inlineStr" s="0">
        <is>
          <t>28110</t>
        </is>
      </c>
      <c r="D12" t="inlineStr" s="0">
        <is>
          <t>Salmisaarenaukio 1 A, 00180 Helsinki</t>
        </is>
      </c>
      <c r="E12" t="inlineStr" s="0">
        <is>
          <t>Business_Finland</t>
        </is>
      </c>
      <c r="F12" t="inlineStr" s="0">
        <is>
          <t>32.20.40</t>
        </is>
      </c>
      <c r="G12" s="2">
        <v>6500000.0</v>
      </c>
      <c r="H12" s="2">
        <v>0.0</v>
      </c>
      <c r="I12" s="2">
        <v>480000.0</v>
      </c>
      <c r="J12" s="2">
        <v>-0.07</v>
      </c>
      <c r="K12" t="inlineStr" s="0">
        <is>
          <t>BLACKLIST_ZOMBIE</t>
        </is>
      </c>
      <c r="L12" s="2">
        <v>6500000.0</v>
      </c>
      <c r="M12" t="inlineStr" s="0">
        <is>
          <t>NONE</t>
        </is>
      </c>
    </row>
    <row r="13">
      <c r="A13" t="inlineStr" s="0">
        <is>
          <t>1877769-4</t>
        </is>
      </c>
      <c r="B13" t="inlineStr" s="0">
        <is>
          <t>Spinverse Oy (Julkisten EU- ja Business Finland Veturi -tukikonsortioiden konsultti)</t>
        </is>
      </c>
      <c r="C13" t="inlineStr" s="0">
        <is>
          <t>70200</t>
        </is>
      </c>
      <c r="D13" t="inlineStr" s="0">
        <is>
          <t>Keilasatama 5, 02150 Espoo</t>
        </is>
      </c>
      <c r="E13" t="inlineStr" s="0">
        <is>
          <t>Business_Finland</t>
        </is>
      </c>
      <c r="F13" t="inlineStr" s="0">
        <is>
          <t>32.20.40</t>
        </is>
      </c>
      <c r="G13" s="2">
        <v>3850000.0</v>
      </c>
      <c r="H13" s="2">
        <v>420000.0</v>
      </c>
      <c r="I13" s="2">
        <v>680000.0</v>
      </c>
      <c r="J13" s="2">
        <v>-0.07</v>
      </c>
      <c r="K13" t="inlineStr" s="0">
        <is>
          <t>DEADWEIGHT_CROWD_OUT</t>
        </is>
      </c>
      <c r="L13" s="2">
        <v>3850000.0</v>
      </c>
      <c r="M13" t="inlineStr" s="0">
        <is>
          <t>KLUSTERI-KEILASATAMA-KONSORTIO</t>
        </is>
      </c>
    </row>
    <row r="14">
      <c r="A14" t="inlineStr" s="0">
        <is>
          <t>2553019-8</t>
        </is>
      </c>
      <c r="B14" t="inlineStr" s="0">
        <is>
          <t>Valmet Oyj (Keilasatama 5 — Business Finland Veturi &amp; teollisuuden T&amp;K-tuet)</t>
        </is>
      </c>
      <c r="C14" t="inlineStr" s="0">
        <is>
          <t>70100</t>
        </is>
      </c>
      <c r="D14" t="inlineStr" s="0">
        <is>
          <t>Keilasatama 5, 02150 Espoo</t>
        </is>
      </c>
      <c r="E14" t="inlineStr" s="0">
        <is>
          <t>Business_Finland</t>
        </is>
      </c>
      <c r="F14" t="inlineStr" s="0">
        <is>
          <t>32.20.40</t>
        </is>
      </c>
      <c r="G14" s="2">
        <v>24500000.0</v>
      </c>
      <c r="H14" s="2">
        <v>4800000.0</v>
      </c>
      <c r="I14" s="2">
        <v>19500000.0</v>
      </c>
      <c r="J14" s="2">
        <v>-0.6</v>
      </c>
      <c r="K14" t="inlineStr" s="0">
        <is>
          <t>DEADWEIGHT_CROWD_OUT</t>
        </is>
      </c>
      <c r="L14" s="2">
        <v>24500000.0</v>
      </c>
      <c r="M14" t="inlineStr" s="0">
        <is>
          <t>KLUSTERI-KEILASATAMA-KONSORTIO</t>
        </is>
      </c>
    </row>
    <row r="15">
      <c r="A15" t="inlineStr" s="0">
        <is>
          <t>1041090-0</t>
        </is>
      </c>
      <c r="B15" t="inlineStr" s="0">
        <is>
          <t>UPM-Kymmene Oyj (Teollisuuden sähköistämistuki, energiatuet &amp; BF-avustukset)</t>
        </is>
      </c>
      <c r="C15" t="inlineStr" s="0">
        <is>
          <t>17120</t>
        </is>
      </c>
      <c r="D15" t="inlineStr" s="0">
        <is>
          <t>Alvar Aallon katu 1, 00100 Helsinki</t>
        </is>
      </c>
      <c r="E15" t="inlineStr" s="0">
        <is>
          <t>MMM_Energy</t>
        </is>
      </c>
      <c r="F15" t="inlineStr" s="0">
        <is>
          <t>30.10.40_32.60.40</t>
        </is>
      </c>
      <c r="G15" s="2">
        <v>142000000.0</v>
      </c>
      <c r="H15" s="2">
        <v>38000000.0</v>
      </c>
      <c r="I15" s="2">
        <v>45000000.0</v>
      </c>
      <c r="J15" s="2">
        <v>-0.05</v>
      </c>
      <c r="K15" t="inlineStr" s="0">
        <is>
          <t>DEADWEIGHT_CROWD_OUT</t>
        </is>
      </c>
      <c r="L15" s="2">
        <v>142000000.0</v>
      </c>
      <c r="M15" t="inlineStr" s="0">
        <is>
          <t>NONE</t>
        </is>
      </c>
    </row>
    <row r="16">
      <c r="A16" t="inlineStr" s="0">
        <is>
          <t>1039050-8</t>
        </is>
      </c>
      <c r="B16" t="inlineStr" s="0">
        <is>
          <t>Stora Enso Oyj (Teollisuuden sähköistämistuki, energiatuet &amp; T&amp;K-avustukset)</t>
        </is>
      </c>
      <c r="C16" t="inlineStr" s="0">
        <is>
          <t>17120</t>
        </is>
      </c>
      <c r="D16" t="inlineStr" s="0">
        <is>
          <t>Katajanokanlaituri 4, 00160 Helsinki</t>
        </is>
      </c>
      <c r="E16" t="inlineStr" s="0">
        <is>
          <t>MMM_Energy</t>
        </is>
      </c>
      <c r="F16" t="inlineStr" s="0">
        <is>
          <t>30.10.40_32.60.40</t>
        </is>
      </c>
      <c r="G16" s="2">
        <v>96000000.0</v>
      </c>
      <c r="H16" s="2">
        <v>22000000.0</v>
      </c>
      <c r="I16" s="2">
        <v>45000000.0</v>
      </c>
      <c r="J16" s="2">
        <v>-0.24</v>
      </c>
      <c r="K16" t="inlineStr" s="0">
        <is>
          <t>DEADWEIGHT_CROWD_OUT</t>
        </is>
      </c>
      <c r="L16" s="2">
        <v>96000000.0</v>
      </c>
      <c r="M16" t="inlineStr" s="0">
        <is>
          <t>NONE</t>
        </is>
      </c>
    </row>
    <row r="17">
      <c r="A17" t="inlineStr" s="0">
        <is>
          <t>1852302-9</t>
        </is>
      </c>
      <c r="B17" t="inlineStr" s="0">
        <is>
          <t>Neste Oyj (Business Finland Veturi &amp; puhtaan siirtymän investointi- ja T&amp;K-tuet)</t>
        </is>
      </c>
      <c r="C17" t="inlineStr" s="0">
        <is>
          <t>19200</t>
        </is>
      </c>
      <c r="D17" t="inlineStr" s="0">
        <is>
          <t>Keilaranta 21, 02150 Espoo</t>
        </is>
      </c>
      <c r="E17" t="inlineStr" s="0">
        <is>
          <t>MMM_Energy</t>
        </is>
      </c>
      <c r="F17" t="inlineStr" s="0">
        <is>
          <t>30.10.40_32.60.40</t>
        </is>
      </c>
      <c r="G17" s="2">
        <v>68500000.0</v>
      </c>
      <c r="H17" s="2">
        <v>18000000.0</v>
      </c>
      <c r="I17" s="2">
        <v>32000000.0</v>
      </c>
      <c r="J17" s="2">
        <v>-0.2</v>
      </c>
      <c r="K17" t="inlineStr" s="0">
        <is>
          <t>DEADWEIGHT_CROWD_OUT</t>
        </is>
      </c>
      <c r="L17" s="2">
        <v>68500000.0</v>
      </c>
      <c r="M17" t="inlineStr" s="0">
        <is>
          <t>NONE</t>
        </is>
      </c>
    </row>
    <row r="18">
      <c r="A18" t="inlineStr" s="0">
        <is>
          <t>2389445-7</t>
        </is>
      </c>
      <c r="B18" t="inlineStr" s="0">
        <is>
          <t>SSAB Europe Oy (Raahen terästehtaan energia- ja siirtymätuet)</t>
        </is>
      </c>
      <c r="C18" t="inlineStr" s="0">
        <is>
          <t>24100</t>
        </is>
      </c>
      <c r="D18" t="inlineStr" s="0">
        <is>
          <t>Harvialantie 420, 13300 Hämeenlinna</t>
        </is>
      </c>
      <c r="E18" t="inlineStr" s="0">
        <is>
          <t>MMM_Energy</t>
        </is>
      </c>
      <c r="F18" t="inlineStr" s="0">
        <is>
          <t>30.10.40_32.60.40</t>
        </is>
      </c>
      <c r="G18" s="2">
        <v>48000000.0</v>
      </c>
      <c r="H18" s="2">
        <v>9500000.0</v>
      </c>
      <c r="I18" s="2">
        <v>24000000.0</v>
      </c>
      <c r="J18" s="2">
        <v>-0.3</v>
      </c>
      <c r="K18" t="inlineStr" s="0">
        <is>
          <t>DEADWEIGHT_CROWD_OUT</t>
        </is>
      </c>
      <c r="L18" s="2">
        <v>48000000.0</v>
      </c>
      <c r="M18" t="inlineStr" s="0">
        <is>
          <t>NONE</t>
        </is>
      </c>
    </row>
    <row r="19">
      <c r="A19" t="inlineStr" s="0">
        <is>
          <t>0215254-2</t>
        </is>
      </c>
      <c r="B19" t="inlineStr" s="0">
        <is>
          <t>Outokumpu Oyj (Energiaintensiivisen teollisuuden sähköistämis- ja energiatuet)</t>
        </is>
      </c>
      <c r="C19" t="inlineStr" s="0">
        <is>
          <t>64210</t>
        </is>
      </c>
      <c r="D19" t="inlineStr" s="0">
        <is>
          <t>Salmisaarenaukio 1, 00180 Helsinki</t>
        </is>
      </c>
      <c r="E19" t="inlineStr" s="0">
        <is>
          <t>MMM_Energy</t>
        </is>
      </c>
      <c r="F19" t="inlineStr" s="0">
        <is>
          <t>30.10.40_32.60.40</t>
        </is>
      </c>
      <c r="G19" s="2">
        <v>62000000.0</v>
      </c>
      <c r="H19" s="2">
        <v>11000000.0</v>
      </c>
      <c r="I19" s="2">
        <v>26000000.0</v>
      </c>
      <c r="J19" s="2">
        <v>-0.24</v>
      </c>
      <c r="K19" t="inlineStr" s="0">
        <is>
          <t>DEADWEIGHT_CROWD_OUT</t>
        </is>
      </c>
      <c r="L19" s="2">
        <v>62000000.0</v>
      </c>
      <c r="M19" t="inlineStr" s="0">
        <is>
          <t>NONE</t>
        </is>
      </c>
    </row>
    <row r="20">
      <c r="A20" t="inlineStr" s="0">
        <is>
          <t>0772017-4</t>
        </is>
      </c>
      <c r="B20" t="inlineStr" s="0">
        <is>
          <t>Meyer Turku Oy (TEM &amp; Business Finland meriteollisuuden innovaatio- ja telakkatuet)</t>
        </is>
      </c>
      <c r="C20" t="inlineStr" s="0">
        <is>
          <t>30110</t>
        </is>
      </c>
      <c r="D20" t="inlineStr" s="0">
        <is>
          <t>Telakkakatu 1, 20240 Turku</t>
        </is>
      </c>
      <c r="E20" t="inlineStr" s="0">
        <is>
          <t>Business_Finland</t>
        </is>
      </c>
      <c r="F20" t="inlineStr" s="0">
        <is>
          <t>32.20.40</t>
        </is>
      </c>
      <c r="G20" s="2">
        <v>54000000.0</v>
      </c>
      <c r="H20" s="2">
        <v>0.0</v>
      </c>
      <c r="I20" s="2">
        <v>12000000.0</v>
      </c>
      <c r="J20" s="2">
        <v>-0.22</v>
      </c>
      <c r="K20" t="inlineStr" s="0">
        <is>
          <t>BLACKLIST_ZOMBIE</t>
        </is>
      </c>
      <c r="L20" s="2">
        <v>54000000.0</v>
      </c>
      <c r="M20" t="inlineStr" s="0">
        <is>
          <t>NONE</t>
        </is>
      </c>
    </row>
    <row r="21">
      <c r="A21" t="inlineStr" s="0">
        <is>
          <t>0144983-8</t>
        </is>
      </c>
      <c r="B21" t="inlineStr" s="0">
        <is>
          <t>Viking Line Abp (Varustamoiden miehistötuki- ja merenkulun tukiautomaatti)</t>
        </is>
      </c>
      <c r="C21" t="inlineStr" s="0">
        <is>
          <t>50101</t>
        </is>
      </c>
      <c r="D21" t="inlineStr" s="0">
        <is>
          <t>Norragatan 4, 22100 Mariehamn</t>
        </is>
      </c>
      <c r="E21" t="inlineStr" s="0">
        <is>
          <t>ELY</t>
        </is>
      </c>
      <c r="F21" t="inlineStr" s="0">
        <is>
          <t>32.30.42</t>
        </is>
      </c>
      <c r="G21" s="2">
        <v>115000000.0</v>
      </c>
      <c r="H21" s="2">
        <v>4200000.0</v>
      </c>
      <c r="I21" s="2">
        <v>18000000.0</v>
      </c>
      <c r="J21" s="2">
        <v>-0.12</v>
      </c>
      <c r="K21" t="inlineStr" s="0">
        <is>
          <t>DEADWEIGHT_CROWD_OUT</t>
        </is>
      </c>
      <c r="L21" s="2">
        <v>115000000.0</v>
      </c>
      <c r="M21" t="inlineStr" s="0">
        <is>
          <t>NONE</t>
        </is>
      </c>
    </row>
    <row r="22">
      <c r="A22" t="inlineStr" s="0">
        <is>
          <t>0114296-7</t>
        </is>
      </c>
      <c r="B22" t="inlineStr" s="0">
        <is>
          <t>Tallink Silja Oy (Merenkulun miehistötuki ja väylämaksualennukset)</t>
        </is>
      </c>
      <c r="C22" t="inlineStr" s="0">
        <is>
          <t>50101</t>
        </is>
      </c>
      <c r="D22" t="inlineStr" s="0">
        <is>
          <t>Tyynenmerenkatu 9, 00220 Helsinki</t>
        </is>
      </c>
      <c r="E22" t="inlineStr" s="0">
        <is>
          <t>ELY</t>
        </is>
      </c>
      <c r="F22" t="inlineStr" s="0">
        <is>
          <t>32.30.42</t>
        </is>
      </c>
      <c r="G22" s="2">
        <v>98000000.0</v>
      </c>
      <c r="H22" s="2">
        <v>1500000.0</v>
      </c>
      <c r="I22" s="2">
        <v>18000000.0</v>
      </c>
      <c r="J22" s="2">
        <v>-0.17</v>
      </c>
      <c r="K22" t="inlineStr" s="0">
        <is>
          <t>DEADWEIGHT_CROWD_OUT</t>
        </is>
      </c>
      <c r="L22" s="2">
        <v>98000000.0</v>
      </c>
      <c r="M22" t="inlineStr" s="0">
        <is>
          <t>NONE</t>
        </is>
      </c>
    </row>
    <row r="23">
      <c r="A23" t="inlineStr" s="0">
        <is>
          <t>0201153-9</t>
        </is>
      </c>
      <c r="B23" t="inlineStr" s="0">
        <is>
          <t>Finnlines Oyj (Rahti- ja matkustajavarustamoiden miehistötuki — momentti 31.20.43)</t>
        </is>
      </c>
      <c r="C23" t="inlineStr" s="0">
        <is>
          <t>50101</t>
        </is>
      </c>
      <c r="D23" t="inlineStr" s="0">
        <is>
          <t>Komentosilta 1, 00980 Helsinki</t>
        </is>
      </c>
      <c r="E23" t="inlineStr" s="0">
        <is>
          <t>ELY</t>
        </is>
      </c>
      <c r="F23" t="inlineStr" s="0">
        <is>
          <t>32.30.42</t>
        </is>
      </c>
      <c r="G23" s="2">
        <v>65000000.0</v>
      </c>
      <c r="H23" s="2">
        <v>8500000.0</v>
      </c>
      <c r="I23" s="2">
        <v>22000000.0</v>
      </c>
      <c r="J23" s="2">
        <v>-0.21</v>
      </c>
      <c r="K23" t="inlineStr" s="0">
        <is>
          <t>DEADWEIGHT_CROWD_OUT</t>
        </is>
      </c>
      <c r="L23" s="2">
        <v>65000000.0</v>
      </c>
      <c r="M23" t="inlineStr" s="0">
        <is>
          <t>NONE</t>
        </is>
      </c>
    </row>
    <row r="24">
      <c r="A24" t="inlineStr" s="0">
        <is>
          <t>1463611-4</t>
        </is>
      </c>
      <c r="B24" t="inlineStr" s="0">
        <is>
          <t>Fortum Oyj (Energia-, vety- ja T&amp;K-hankeavustukset)</t>
        </is>
      </c>
      <c r="C24" t="inlineStr" s="0">
        <is>
          <t>70100</t>
        </is>
      </c>
      <c r="D24" t="inlineStr" s="0">
        <is>
          <t>Keilalahdentie 2-4, 02150 Espoo</t>
        </is>
      </c>
      <c r="E24" t="inlineStr" s="0">
        <is>
          <t>MMM_Energy</t>
        </is>
      </c>
      <c r="F24" t="inlineStr" s="0">
        <is>
          <t>30.10.40_32.60.40</t>
        </is>
      </c>
      <c r="G24" s="2">
        <v>34000000.0</v>
      </c>
      <c r="H24" s="2">
        <v>12000000.0</v>
      </c>
      <c r="I24" s="2">
        <v>25000000.0</v>
      </c>
      <c r="J24" s="2">
        <v>-0.38</v>
      </c>
      <c r="K24" t="inlineStr" s="0">
        <is>
          <t>DEADWEIGHT_CROWD_OUT</t>
        </is>
      </c>
      <c r="L24" s="2">
        <v>34000000.0</v>
      </c>
      <c r="M24" t="inlineStr" s="0">
        <is>
          <t>NONE</t>
        </is>
      </c>
    </row>
    <row r="25">
      <c r="A25" t="inlineStr" s="0">
        <is>
          <t>0791416-3</t>
        </is>
      </c>
      <c r="B25" t="inlineStr" s="0">
        <is>
          <t>Metsä Fibre Oy (Biotuotetehtaiden energia- ja investointituet)</t>
        </is>
      </c>
      <c r="C25" t="inlineStr" s="0">
        <is>
          <t>17110</t>
        </is>
      </c>
      <c r="D25" t="inlineStr" s="0">
        <is>
          <t>Revontulenpuisto 2, 02100 Espoo</t>
        </is>
      </c>
      <c r="E25" t="inlineStr" s="0">
        <is>
          <t>MMM_Energy</t>
        </is>
      </c>
      <c r="F25" t="inlineStr" s="0">
        <is>
          <t>30.10.40_32.60.40</t>
        </is>
      </c>
      <c r="G25" s="2">
        <v>44000000.0</v>
      </c>
      <c r="H25" s="2">
        <v>14000000.0</v>
      </c>
      <c r="I25" s="2">
        <v>28000000.0</v>
      </c>
      <c r="J25" s="2">
        <v>-0.32</v>
      </c>
      <c r="K25" t="inlineStr" s="0">
        <is>
          <t>DEADWEIGHT_CROWD_OUT</t>
        </is>
      </c>
      <c r="L25" s="2">
        <v>44000000.0</v>
      </c>
      <c r="M25" t="inlineStr" s="0">
        <is>
          <t>NONE</t>
        </is>
      </c>
    </row>
    <row r="26">
      <c r="A26" t="inlineStr" s="0">
        <is>
          <t>0109823-0</t>
        </is>
      </c>
      <c r="B26" t="inlineStr" s="0">
        <is>
          <t>Kemira Oyj (Teollisuuden energia-, sähköistämis- ja T&amp;K-avustukset kannattavalle pörssiyhtiölle)</t>
        </is>
      </c>
      <c r="C26" t="inlineStr" s="0">
        <is>
          <t>20130</t>
        </is>
      </c>
      <c r="D26" t="inlineStr" s="0">
        <is>
          <t>Energiakatu 4, 00180 Helsinki</t>
        </is>
      </c>
      <c r="E26" t="inlineStr" s="0">
        <is>
          <t>MMM_Energy</t>
        </is>
      </c>
      <c r="F26" t="inlineStr" s="0">
        <is>
          <t>30.10.40_32.60.40</t>
        </is>
      </c>
      <c r="G26" s="2">
        <v>19500000.0</v>
      </c>
      <c r="H26" s="2">
        <v>42000000.0</v>
      </c>
      <c r="I26" s="2">
        <v>48000000.0</v>
      </c>
      <c r="J26" s="2">
        <v>-0.31</v>
      </c>
      <c r="K26" t="inlineStr" s="0">
        <is>
          <t>DEADWEIGHT_CROWD_OUT</t>
        </is>
      </c>
      <c r="L26" s="2">
        <v>19500000.0</v>
      </c>
      <c r="M26" t="inlineStr" s="0">
        <is>
          <t>NONE</t>
        </is>
      </c>
    </row>
    <row r="27">
      <c r="A27" t="inlineStr" s="0">
        <is>
          <t>0828105-4</t>
        </is>
      </c>
      <c r="B27" t="inlineStr" s="0">
        <is>
          <t>Metso Oyj (Business Finland Veturi &amp; kaivosteknologian suuryritystuet)</t>
        </is>
      </c>
      <c r="C27" t="inlineStr" s="0">
        <is>
          <t>28920</t>
        </is>
      </c>
      <c r="D27" t="inlineStr" s="0">
        <is>
          <t>Töölönlahdenkatu 2, 00100 Helsinki</t>
        </is>
      </c>
      <c r="E27" t="inlineStr" s="0">
        <is>
          <t>Business_Finland</t>
        </is>
      </c>
      <c r="F27" t="inlineStr" s="0">
        <is>
          <t>32.20.40</t>
        </is>
      </c>
      <c r="G27" s="2">
        <v>21000000.0</v>
      </c>
      <c r="H27" s="2">
        <v>58000000.0</v>
      </c>
      <c r="I27" s="2">
        <v>65000000.0</v>
      </c>
      <c r="J27" s="2">
        <v>-0.33</v>
      </c>
      <c r="K27" t="inlineStr" s="0">
        <is>
          <t>DEADWEIGHT_CROWD_OUT</t>
        </is>
      </c>
      <c r="L27" s="2">
        <v>21000000.0</v>
      </c>
      <c r="M27" t="inlineStr" s="0">
        <is>
          <t>NONE</t>
        </is>
      </c>
    </row>
    <row r="28">
      <c r="A28" t="inlineStr" s="0">
        <is>
          <t>0108023-3</t>
        </is>
      </c>
      <c r="B28" t="inlineStr" s="0">
        <is>
          <t>Finnair Oyj (Valtion suora pääoma-, reitti- ja ilmailutuki — 0 € maksettua yhteisöveroa)</t>
        </is>
      </c>
      <c r="C28" t="inlineStr" s="0">
        <is>
          <t>51100</t>
        </is>
      </c>
      <c r="D28" t="inlineStr" s="0">
        <is>
          <t>Tietotie 9, 01530 Vantaa</t>
        </is>
      </c>
      <c r="E28" t="inlineStr" s="0">
        <is>
          <t>ELY</t>
        </is>
      </c>
      <c r="F28" t="inlineStr" s="0">
        <is>
          <t>32.30.42</t>
        </is>
      </c>
      <c r="G28" s="2">
        <v>85000000.0</v>
      </c>
      <c r="H28" s="2">
        <v>0.0</v>
      </c>
      <c r="I28" s="2">
        <v>25000000.0</v>
      </c>
      <c r="J28" s="2">
        <v>-0.29</v>
      </c>
      <c r="K28" t="inlineStr" s="0">
        <is>
          <t>BLACKLIST_ZOMBIE</t>
        </is>
      </c>
      <c r="L28" s="2">
        <v>85000000.0</v>
      </c>
      <c r="M28" t="inlineStr" s="0">
        <is>
          <t>NONE</t>
        </is>
      </c>
    </row>
    <row r="29">
      <c r="A29" t="inlineStr" s="0">
        <is>
          <t>0112038-9</t>
        </is>
      </c>
      <c r="B29" t="inlineStr" s="0">
        <is>
          <t>Nokia Oyj (5G/6G &amp; puolijohde-T&amp;K Veturi — vahva yhteisö- ja T&amp;K-verojälki Suomessa)</t>
        </is>
      </c>
      <c r="C29" t="inlineStr" s="0">
        <is>
          <t>26300</t>
        </is>
      </c>
      <c r="D29" t="inlineStr" s="0">
        <is>
          <t>Karakaari 7, 02610 Espoo</t>
        </is>
      </c>
      <c r="E29" t="inlineStr" s="0">
        <is>
          <t>Business_Finland</t>
        </is>
      </c>
      <c r="F29" t="inlineStr" s="0">
        <is>
          <t>32.20.40</t>
        </is>
      </c>
      <c r="G29" s="2">
        <v>84500000.0</v>
      </c>
      <c r="H29" s="2">
        <v>420000000.0</v>
      </c>
      <c r="I29" s="2">
        <v>85000000.0</v>
      </c>
      <c r="J29" s="2">
        <v>3.96</v>
      </c>
      <c r="K29" t="inlineStr" s="0">
        <is>
          <t>POSITIVE_EXTERNALITY_KEEP</t>
        </is>
      </c>
      <c r="L29" s="2">
        <v>0.0</v>
      </c>
      <c r="M29" t="inlineStr" s="0">
        <is>
          <t>NONE</t>
        </is>
      </c>
    </row>
    <row r="30">
      <c r="A30" t="inlineStr" s="0">
        <is>
          <t>0128631-1</t>
        </is>
      </c>
      <c r="B30" t="inlineStr" s="0">
        <is>
          <t>Wärtsilä Oyj Abp (Merimoottori- ja energiateknologian T&amp;K — vahva yhteisöverokasvu)</t>
        </is>
      </c>
      <c r="C30" t="inlineStr" s="0">
        <is>
          <t>28110</t>
        </is>
      </c>
      <c r="D30" t="inlineStr" s="0">
        <is>
          <t>Hiililaiturinkuja 2, 00180 Helsinki</t>
        </is>
      </c>
      <c r="E30" t="inlineStr" s="0">
        <is>
          <t>Business_Finland</t>
        </is>
      </c>
      <c r="F30" t="inlineStr" s="0">
        <is>
          <t>32.20.40</t>
        </is>
      </c>
      <c r="G30" s="2">
        <v>29000000.0</v>
      </c>
      <c r="H30" s="2">
        <v>115000000.0</v>
      </c>
      <c r="I30" s="2">
        <v>32000000.0</v>
      </c>
      <c r="J30" s="2">
        <v>2.86</v>
      </c>
      <c r="K30" t="inlineStr" s="0">
        <is>
          <t>POSITIVE_EXTERNALITY_KEEP</t>
        </is>
      </c>
      <c r="L30" s="2">
        <v>0.0</v>
      </c>
      <c r="M30" t="inlineStr" s="0">
        <is>
          <t>NONE</t>
        </is>
      </c>
    </row>
    <row r="31">
      <c r="A31" t="inlineStr" s="0">
        <is>
          <t>2856868-5</t>
        </is>
      </c>
      <c r="B31" t="inlineStr" s="0">
        <is>
          <t>Kempower Oyj (Sähköajoneuvojen suurteholataus — T&amp;K-tuesta nopeaan vienti- ja verokasvuun)</t>
        </is>
      </c>
      <c r="C31" t="inlineStr" s="0">
        <is>
          <t>27900</t>
        </is>
      </c>
      <c r="D31" t="inlineStr" s="0">
        <is>
          <t>Ala-Okeroistentie 29, 15700 Lahti</t>
        </is>
      </c>
      <c r="E31" t="inlineStr" s="0">
        <is>
          <t>Business_Finland</t>
        </is>
      </c>
      <c r="F31" t="inlineStr" s="0">
        <is>
          <t>32.20.40</t>
        </is>
      </c>
      <c r="G31" s="2">
        <v>4200000.0</v>
      </c>
      <c r="H31" s="2">
        <v>14500000.0</v>
      </c>
      <c r="I31" s="2">
        <v>2100000.0</v>
      </c>
      <c r="J31" s="2">
        <v>2.95</v>
      </c>
      <c r="K31" t="inlineStr" s="0">
        <is>
          <t>POSITIVE_EXTERNALITY_KEEP</t>
        </is>
      </c>
      <c r="L31" s="2">
        <v>0.0</v>
      </c>
      <c r="M31" t="inlineStr" s="0">
        <is>
          <t>NONE</t>
        </is>
      </c>
    </row>
    <row r="32">
      <c r="A32" t="inlineStr" s="0">
        <is>
          <t>2639822-1</t>
        </is>
      </c>
      <c r="B32" t="inlineStr" s="0">
        <is>
          <t>ICEYE Oy (SAR-satelliittitutkateknologia — korkean arvonlisän puolustusvienti ja T&amp;K-verokertymä)</t>
        </is>
      </c>
      <c r="C32" t="inlineStr" s="0">
        <is>
          <t>71121</t>
        </is>
      </c>
      <c r="D32" t="inlineStr" s="0">
        <is>
          <t>Maarintie 6, 02150 Espoo</t>
        </is>
      </c>
      <c r="E32" t="inlineStr" s="0">
        <is>
          <t>Business_Finland</t>
        </is>
      </c>
      <c r="F32" t="inlineStr" s="0">
        <is>
          <t>32.20.40</t>
        </is>
      </c>
      <c r="G32" s="2">
        <v>8900000.0</v>
      </c>
      <c r="H32" s="2">
        <v>22400000.0</v>
      </c>
      <c r="I32" s="2">
        <v>1800000.0</v>
      </c>
      <c r="J32" s="2">
        <v>2.31</v>
      </c>
      <c r="K32" t="inlineStr" s="0">
        <is>
          <t>POSITIVE_EXTERNALITY_KEEP</t>
        </is>
      </c>
      <c r="L32" s="2">
        <v>0.0</v>
      </c>
      <c r="M32" t="inlineStr" s="0">
        <is>
          <t>NONE</t>
        </is>
      </c>
    </row>
    <row r="33">
      <c r="A33" t="inlineStr" s="0">
        <is>
          <t>0942718-2</t>
        </is>
      </c>
      <c r="B33" t="inlineStr" s="0">
        <is>
          <t>Konecranes Oyj (Satama-automaation ja älykkään nostoteknologian T&amp;K — vahva yhteisöverotuotto)</t>
        </is>
      </c>
      <c r="C33" t="inlineStr" s="0">
        <is>
          <t>28220</t>
        </is>
      </c>
      <c r="D33" t="inlineStr" s="0">
        <is>
          <t>Koneenkatu 8, 05830 Hyvinkää</t>
        </is>
      </c>
      <c r="E33" t="inlineStr" s="0">
        <is>
          <t>Business_Finland</t>
        </is>
      </c>
      <c r="F33" t="inlineStr" s="0">
        <is>
          <t>32.20.40</t>
        </is>
      </c>
      <c r="G33" s="2">
        <v>12500000.0</v>
      </c>
      <c r="H33" s="2">
        <v>95000000.0</v>
      </c>
      <c r="I33" s="2">
        <v>28000000.0</v>
      </c>
      <c r="J33" s="2">
        <v>5.36</v>
      </c>
      <c r="K33" t="inlineStr" s="0">
        <is>
          <t>POSITIVE_EXTERNALITY_KEEP</t>
        </is>
      </c>
      <c r="L33" s="2">
        <v>0.0</v>
      </c>
      <c r="M33" t="inlineStr" s="0">
        <is>
          <t>NONE</t>
        </is>
      </c>
    </row>
    <row r="34">
      <c r="A34" t="inlineStr" s="0">
        <is>
          <t>0124416-2</t>
        </is>
      </c>
      <c r="B34" t="inlineStr" s="0">
        <is>
          <t>Vaisala Oyj (Mittausteknologian ja avaruussääantureiden T&amp;K — korkea kotimainen verotuotto)</t>
        </is>
      </c>
      <c r="C34" t="inlineStr" s="0">
        <is>
          <t>26510</t>
        </is>
      </c>
      <c r="D34" t="inlineStr" s="0">
        <is>
          <t>Vanha Nurmijärventie 21, 01670 Vantaa</t>
        </is>
      </c>
      <c r="E34" t="inlineStr" s="0">
        <is>
          <t>Business_Finland</t>
        </is>
      </c>
      <c r="F34" t="inlineStr" s="0">
        <is>
          <t>32.20.40</t>
        </is>
      </c>
      <c r="G34" s="2">
        <v>6800000.0</v>
      </c>
      <c r="H34" s="2">
        <v>68000000.0</v>
      </c>
      <c r="I34" s="2">
        <v>14000000.0</v>
      </c>
      <c r="J34" s="2">
        <v>7.94</v>
      </c>
      <c r="K34" t="inlineStr" s="0">
        <is>
          <t>POSITIVE_EXTERNALITY_KEEP</t>
        </is>
      </c>
      <c r="L34" s="2">
        <v>0.0</v>
      </c>
      <c r="M34" t="inlineStr" s="0">
        <is>
          <t>NONE</t>
        </is>
      </c>
    </row>
    <row r="35">
      <c r="A35" t="inlineStr" s="0">
        <is>
          <t>2334159-6</t>
        </is>
      </c>
      <c r="B35" t="inlineStr" s="0">
        <is>
          <t>Patria Oyj (Puolustus- ja järjestelmäteknologian T&amp;K — vahva vienti ja yhteisöverokertymä)</t>
        </is>
      </c>
      <c r="C35" t="inlineStr" s="0">
        <is>
          <t>30400</t>
        </is>
      </c>
      <c r="D35" t="inlineStr" s="0">
        <is>
          <t>Kaivokatu 10 A, 00100 Helsinki</t>
        </is>
      </c>
      <c r="E35" t="inlineStr" s="0">
        <is>
          <t>Business_Finland</t>
        </is>
      </c>
      <c r="F35" t="inlineStr" s="0">
        <is>
          <t>32.20.40</t>
        </is>
      </c>
      <c r="G35" s="2">
        <v>14200000.0</v>
      </c>
      <c r="H35" s="2">
        <v>48000000.0</v>
      </c>
      <c r="I35" s="2">
        <v>15000000.0</v>
      </c>
      <c r="J35" s="2">
        <v>2.32</v>
      </c>
      <c r="K35" t="inlineStr" s="0">
        <is>
          <t>POSITIVE_EXTERNALITY_KEEP</t>
        </is>
      </c>
      <c r="L35" s="2">
        <v>0.0</v>
      </c>
      <c r="M35" t="inlineStr" s="0">
        <is>
          <t>NONE</t>
        </is>
      </c>
    </row>
    <row r="36">
      <c r="A36" t="inlineStr" s="0">
        <is>
          <t>3229349-3</t>
        </is>
      </c>
      <c r="B36" t="inlineStr" s="0">
        <is>
          <t>Canatu Oyj (EUV-puolijohdekalvojen ja hiilinanoputkien syväteknologiavienti)</t>
        </is>
      </c>
      <c r="C36" t="inlineStr" s="0">
        <is>
          <t>26110</t>
        </is>
      </c>
      <c r="D36" t="inlineStr" s="0">
        <is>
          <t>Tiilenlyöjänkuja 9, 01720 Vantaa</t>
        </is>
      </c>
      <c r="E36" t="inlineStr" s="0">
        <is>
          <t>Business_Finland</t>
        </is>
      </c>
      <c r="F36" t="inlineStr" s="0">
        <is>
          <t>32.20.40</t>
        </is>
      </c>
      <c r="G36" s="2">
        <v>8400000.0</v>
      </c>
      <c r="H36" s="2">
        <v>11200000.0</v>
      </c>
      <c r="I36" s="2">
        <v>1800000.0</v>
      </c>
      <c r="J36" s="2">
        <v>1.12</v>
      </c>
      <c r="K36" t="inlineStr" s="0">
        <is>
          <t>LOW_YIELD_REVIEW</t>
        </is>
      </c>
      <c r="L36" s="2">
        <v>4200000.0</v>
      </c>
      <c r="M36" t="inlineStr" s="0">
        <is>
          <t>NONE</t>
        </is>
      </c>
    </row>
    <row r="37">
      <c r="A37" t="inlineStr" s="0">
        <is>
          <t>2912625-6</t>
        </is>
      </c>
      <c r="B37" t="inlineStr" s="0">
        <is>
          <t>IQM Quantum Computers Oyj (Kvanttitietokoneiden laitteistokehitys ja syväteknologiavienti)</t>
        </is>
      </c>
      <c r="C37" t="inlineStr" s="0">
        <is>
          <t>26200</t>
        </is>
      </c>
      <c r="D37" t="inlineStr" s="0">
        <is>
          <t>Keilaranta 19, 02150 Espoo</t>
        </is>
      </c>
      <c r="E37" t="inlineStr" s="0">
        <is>
          <t>Business_Finland</t>
        </is>
      </c>
      <c r="F37" t="inlineStr" s="0">
        <is>
          <t>32.20.40</t>
        </is>
      </c>
      <c r="G37" s="2">
        <v>15600000.0</v>
      </c>
      <c r="H37" s="2">
        <v>18500000.0</v>
      </c>
      <c r="I37" s="2">
        <v>2400000.0</v>
      </c>
      <c r="J37" s="2">
        <v>1.03</v>
      </c>
      <c r="K37" t="inlineStr" s="0">
        <is>
          <t>LOW_YIELD_REVIEW</t>
        </is>
      </c>
      <c r="L37" s="2">
        <v>7800000.0</v>
      </c>
      <c r="M37" t="inlineStr" s="0">
        <is>
          <t>NONE</t>
        </is>
      </c>
    </row>
    <row r="38">
      <c r="A38" t="inlineStr" s="0">
        <is>
          <t>2542776-4</t>
        </is>
      </c>
      <c r="B38" t="inlineStr" s="0">
        <is>
          <t>Oura Health Oy (Hyvinvointi- ja anturiteknologian kuluttajavienti — positiivinen verovaikutus)</t>
        </is>
      </c>
      <c r="C38" t="inlineStr" s="0">
        <is>
          <t>26510</t>
        </is>
      </c>
      <c r="D38" t="inlineStr" s="0">
        <is>
          <t>Elektroniikkatie 10, 90590 Oulu</t>
        </is>
      </c>
      <c r="E38" t="inlineStr" s="0">
        <is>
          <t>Business_Finland</t>
        </is>
      </c>
      <c r="F38" t="inlineStr" s="0">
        <is>
          <t>32.20.40</t>
        </is>
      </c>
      <c r="G38" s="2">
        <v>7800000.0</v>
      </c>
      <c r="H38" s="2">
        <v>12500000.0</v>
      </c>
      <c r="I38" s="2">
        <v>1900000.0</v>
      </c>
      <c r="J38" s="2">
        <v>1.36</v>
      </c>
      <c r="K38" t="inlineStr" s="0">
        <is>
          <t>POSITIVE_EXTERNALITY_KEEP</t>
        </is>
      </c>
      <c r="L38" s="2">
        <v>0.0</v>
      </c>
      <c r="M38" t="inlineStr" s="0">
        <is>
          <t>NONE</t>
        </is>
      </c>
    </row>
    <row r="39">
      <c r="A39" t="inlineStr" s="0">
        <is>
          <t>2336509-6</t>
        </is>
      </c>
      <c r="B39" t="inlineStr" s="0">
        <is>
          <t>Supercell Oy (0 € suoria tukia 2020–2025 — &gt;950 milj. € yhteisöveroa Suomeen)</t>
        </is>
      </c>
      <c r="C39" t="inlineStr" s="0">
        <is>
          <t>58210</t>
        </is>
      </c>
      <c r="D39" t="inlineStr" s="0">
        <is>
          <t>Jätkäsaarenlaituri 1, 00180 Helsinki</t>
        </is>
      </c>
      <c r="E39" t="inlineStr" s="0">
        <is>
          <t>EI_JULKISTA_YRITYSTUKEA</t>
        </is>
      </c>
      <c r="F39" t="inlineStr" s="0">
        <is>
          <t>0_EUR_TUKEA</t>
        </is>
      </c>
      <c r="G39" s="2">
        <v>0.0</v>
      </c>
      <c r="H39" s="2">
        <v>950000000.0</v>
      </c>
      <c r="I39" s="2">
        <v>950000000.0</v>
      </c>
      <c r="J39" s="2">
        <v>99.9</v>
      </c>
      <c r="K39" t="inlineStr" s="0">
        <is>
          <t>GOLD_STANDARD_PRIVATE_BENCHMARK</t>
        </is>
      </c>
      <c r="L39" s="2">
        <v>0.0</v>
      </c>
      <c r="M39" t="inlineStr" s="0">
        <is>
          <t>NETTOVERONMAKSAJA_VERROKKI</t>
        </is>
      </c>
    </row>
    <row r="40">
      <c r="A40" t="inlineStr" s="0">
        <is>
          <t>1927400-1</t>
        </is>
      </c>
      <c r="B40" t="inlineStr" s="0">
        <is>
          <t>KONE Oyj (Vientiteollisuuden nettoveronmaksajaverrokki — &gt;485 milj. € yhteisöveroa)</t>
        </is>
      </c>
      <c r="C40" t="inlineStr" s="0">
        <is>
          <t>28220</t>
        </is>
      </c>
      <c r="D40" t="inlineStr" s="0">
        <is>
          <t>Kartanontie 1, 00330 Helsinki</t>
        </is>
      </c>
      <c r="E40" t="inlineStr" s="0">
        <is>
          <t>EI_JULKISTA_YRITYSTUKEA</t>
        </is>
      </c>
      <c r="F40" t="inlineStr" s="0">
        <is>
          <t>0_EUR_TUKEA</t>
        </is>
      </c>
      <c r="G40" s="2">
        <v>0.0</v>
      </c>
      <c r="H40" s="2">
        <v>485000000.0</v>
      </c>
      <c r="I40" s="2">
        <v>485000000.0</v>
      </c>
      <c r="J40" s="2">
        <v>99.9</v>
      </c>
      <c r="K40" t="inlineStr" s="0">
        <is>
          <t>GOLD_STANDARD_PRIVATE_BENCHMARK</t>
        </is>
      </c>
      <c r="L40" s="2">
        <v>0.0</v>
      </c>
      <c r="M40" t="inlineStr" s="0">
        <is>
          <t>NETTOVERONMAKSAJA_VERROKKI</t>
        </is>
      </c>
    </row>
    <row r="41">
      <c r="A41" t="inlineStr" s="0">
        <is>
          <t>1963444-1</t>
        </is>
      </c>
      <c r="B41" t="inlineStr" s="0">
        <is>
          <t>Retail Logistics Excellence - RELEX Oy (Ohjelmistoviennin veronmaksajaverrokki)</t>
        </is>
      </c>
      <c r="C41" t="inlineStr" s="0">
        <is>
          <t>62010</t>
        </is>
      </c>
      <c r="D41" t="inlineStr" s="0">
        <is>
          <t>Postintaival 7, 00230 Helsinki</t>
        </is>
      </c>
      <c r="E41" t="inlineStr" s="0">
        <is>
          <t>EI_JULKISTA_YRITYSTUKEA</t>
        </is>
      </c>
      <c r="F41" t="inlineStr" s="0">
        <is>
          <t>0_EUR_TUKEA</t>
        </is>
      </c>
      <c r="G41" s="2">
        <v>0.0</v>
      </c>
      <c r="H41" s="2">
        <v>28500000.0</v>
      </c>
      <c r="I41" s="2">
        <v>28500000.0</v>
      </c>
      <c r="J41" s="2">
        <v>99.9</v>
      </c>
      <c r="K41" t="inlineStr" s="0">
        <is>
          <t>GOLD_STANDARD_PRIVATE_BENCHMARK</t>
        </is>
      </c>
      <c r="L41" s="2">
        <v>0.0</v>
      </c>
      <c r="M41" t="inlineStr" s="0">
        <is>
          <t>NETTOVERONMAKSAJA_VERROKKI</t>
        </is>
      </c>
    </row>
    <row r="42">
      <c r="A42" t="inlineStr" s="0">
        <is>
          <t>0934209-0</t>
        </is>
      </c>
      <c r="B42" t="inlineStr" s="0">
        <is>
          <t>Ponsse Oyj (Konepajateollisuuden nettoveronmaksajaverrokki — &gt;64 milj. € yhteisöveroa)</t>
        </is>
      </c>
      <c r="C42" t="inlineStr" s="0">
        <is>
          <t>28300</t>
        </is>
      </c>
      <c r="D42" t="inlineStr" s="0">
        <is>
          <t>Ponssentie 22, 74200 Vieremä</t>
        </is>
      </c>
      <c r="E42" t="inlineStr" s="0">
        <is>
          <t>EI_JULKISTA_YRITYSTUKEA</t>
        </is>
      </c>
      <c r="F42" t="inlineStr" s="0">
        <is>
          <t>0_EUR_TUKEA</t>
        </is>
      </c>
      <c r="G42" s="2">
        <v>0.0</v>
      </c>
      <c r="H42" s="2">
        <v>64000000.0</v>
      </c>
      <c r="I42" s="2">
        <v>64000000.0</v>
      </c>
      <c r="J42" s="2">
        <v>99.9</v>
      </c>
      <c r="K42" t="inlineStr" s="0">
        <is>
          <t>GOLD_STANDARD_PRIVATE_BENCHMARK</t>
        </is>
      </c>
      <c r="L42" s="2">
        <v>0.0</v>
      </c>
      <c r="M42" t="inlineStr" s="0">
        <is>
          <t>NETTOVERONMAKSAJA_VERROKKI</t>
        </is>
      </c>
    </row>
    <row r="43">
      <c r="A43" t="inlineStr" s="0">
        <is>
          <t>1999212-6</t>
        </is>
      </c>
      <c r="B43" t="inlineStr" s="0">
        <is>
          <t>Orion Oyj (Lääke- ja huipputeknologian nettoveronmaksajaverrokki — &gt;295 milj. € yhteisöveroa)</t>
        </is>
      </c>
      <c r="C43" t="inlineStr" s="0">
        <is>
          <t>21200</t>
        </is>
      </c>
      <c r="D43" t="inlineStr" s="0">
        <is>
          <t>Orionintie 1, 02200 Espoo</t>
        </is>
      </c>
      <c r="E43" t="inlineStr" s="0">
        <is>
          <t>EI_JULKISTA_YRITYSTUKEA</t>
        </is>
      </c>
      <c r="F43" t="inlineStr" s="0">
        <is>
          <t>0_EUR_TUKEA</t>
        </is>
      </c>
      <c r="G43" s="2">
        <v>0.0</v>
      </c>
      <c r="H43" s="2">
        <v>295000000.0</v>
      </c>
      <c r="I43" s="2">
        <v>295000000.0</v>
      </c>
      <c r="J43" s="2">
        <v>99.9</v>
      </c>
      <c r="K43" t="inlineStr" s="0">
        <is>
          <t>GOLD_STANDARD_PRIVATE_BENCHMARK</t>
        </is>
      </c>
      <c r="L43" s="2">
        <v>0.0</v>
      </c>
      <c r="M43" t="inlineStr" s="0">
        <is>
          <t>NETTOVERONMAKSAJA_VERROKKI</t>
        </is>
      </c>
    </row>
    <row r="44">
      <c r="A44" t="inlineStr" s="0">
        <is>
          <t>0109862-8</t>
        </is>
      </c>
      <c r="B44" t="inlineStr" s="0">
        <is>
          <t>Kesko Oyj (Kaupan alan kotimainen nettoveronmaksajaverrokki — &gt;185 milj. € yhteisöveroa)</t>
        </is>
      </c>
      <c r="C44" t="inlineStr" s="0">
        <is>
          <t>46900</t>
        </is>
      </c>
      <c r="D44" t="inlineStr" s="0">
        <is>
          <t>Työpajankatu 12, 00580 Helsinki</t>
        </is>
      </c>
      <c r="E44" t="inlineStr" s="0">
        <is>
          <t>EI_JULKISTA_YRITYSTUKEA</t>
        </is>
      </c>
      <c r="F44" t="inlineStr" s="0">
        <is>
          <t>0_EUR_TUKEA</t>
        </is>
      </c>
      <c r="G44" s="2">
        <v>0.0</v>
      </c>
      <c r="H44" s="2">
        <v>185000000.0</v>
      </c>
      <c r="I44" s="2">
        <v>185000000.0</v>
      </c>
      <c r="J44" s="2">
        <v>99.9</v>
      </c>
      <c r="K44" t="inlineStr" s="0">
        <is>
          <t>GOLD_STANDARD_PRIVATE_BENCHMARK</t>
        </is>
      </c>
      <c r="L44" s="2">
        <v>0.0</v>
      </c>
      <c r="M44" t="inlineStr" s="0">
        <is>
          <t>NETTOVERONMAKSAJA_VERROKKI</t>
        </is>
      </c>
    </row>
    <row r="45">
      <c r="A45" t="inlineStr" s="0">
        <is>
          <t>0116510-6</t>
        </is>
      </c>
      <c r="B45" t="inlineStr" s="0">
        <is>
          <t>Elisa Oyj (Digitaalisen infrastruktuurin kotimainen veronmaksajaverrokki — &gt;120 milj. € yhteisöveroa)</t>
        </is>
      </c>
      <c r="C45" t="inlineStr" s="0">
        <is>
          <t>61100</t>
        </is>
      </c>
      <c r="D45" t="inlineStr" s="0">
        <is>
          <t>Ratavartijankatu 5, 00520 Helsinki</t>
        </is>
      </c>
      <c r="E45" t="inlineStr" s="0">
        <is>
          <t>EI_JULKISTA_YRITYSTUKEA</t>
        </is>
      </c>
      <c r="F45" t="inlineStr" s="0">
        <is>
          <t>0_EUR_TUKEA</t>
        </is>
      </c>
      <c r="G45" s="2">
        <v>0.0</v>
      </c>
      <c r="H45" s="2">
        <v>120000000.0</v>
      </c>
      <c r="I45" s="2">
        <v>120000000.0</v>
      </c>
      <c r="J45" s="2">
        <v>99.9</v>
      </c>
      <c r="K45" t="inlineStr" s="0">
        <is>
          <t>GOLD_STANDARD_PRIVATE_BENCHMARK</t>
        </is>
      </c>
      <c r="L45" s="2">
        <v>0.0</v>
      </c>
      <c r="M45" t="inlineStr" s="0">
        <is>
          <t>NETTOVERONMAKSAJA_VERROKKI</t>
        </is>
      </c>
    </row>
    <row r="46">
      <c r="A46" t="inlineStr" s="0">
        <is>
          <t>0111316-2</t>
        </is>
      </c>
      <c r="B46" t="inlineStr" s="0">
        <is>
          <t>Marimekko Oyj (Kuluttajatuote- ja designviennin tueton markkinaverrokki — &gt;32 milj. € yhteisöveroa)</t>
        </is>
      </c>
      <c r="C46" t="inlineStr" s="0">
        <is>
          <t>14130</t>
        </is>
      </c>
      <c r="D46" t="inlineStr" s="0">
        <is>
          <t>Puusepänkatu 4, 00880 Helsinki</t>
        </is>
      </c>
      <c r="E46" t="inlineStr" s="0">
        <is>
          <t>EI_JULKISTA_YRITYSTUKEA</t>
        </is>
      </c>
      <c r="F46" t="inlineStr" s="0">
        <is>
          <t>0_EUR_TUKEA</t>
        </is>
      </c>
      <c r="G46" s="2">
        <v>0.0</v>
      </c>
      <c r="H46" s="2">
        <v>32000000.0</v>
      </c>
      <c r="I46" s="2">
        <v>32000000.0</v>
      </c>
      <c r="J46" s="2">
        <v>99.9</v>
      </c>
      <c r="K46" t="inlineStr" s="0">
        <is>
          <t>GOLD_STANDARD_PRIVATE_BENCHMARK</t>
        </is>
      </c>
      <c r="L46" s="2">
        <v>0.0</v>
      </c>
      <c r="M46" t="inlineStr" s="0">
        <is>
          <t>NETTOVERONMAKSAJA_VERROKKI</t>
        </is>
      </c>
    </row>
    <row r="47">
      <c r="A47" t="inlineStr" s="0">
        <is>
          <t>0170318-9</t>
        </is>
      </c>
      <c r="B47" t="inlineStr" s="0">
        <is>
          <t>Olvi Oyj (Elintarvike- ja juomateollisuuden markkinaehtoinen veronmaksajaverrokki — &gt;28 milj. € yhteisöveroa)</t>
        </is>
      </c>
      <c r="C47" t="inlineStr" s="0">
        <is>
          <t>11050</t>
        </is>
      </c>
      <c r="D47" t="inlineStr" s="0">
        <is>
          <t>Olvitie 1-4, 74100 Iisalmi</t>
        </is>
      </c>
      <c r="E47" t="inlineStr" s="0">
        <is>
          <t>EI_JULKISTA_YRITYSTUKEA</t>
        </is>
      </c>
      <c r="F47" t="inlineStr" s="0">
        <is>
          <t>0_EUR_TUKEA</t>
        </is>
      </c>
      <c r="G47" s="2">
        <v>0.0</v>
      </c>
      <c r="H47" s="2">
        <v>28000000.0</v>
      </c>
      <c r="I47" s="2">
        <v>28000000.0</v>
      </c>
      <c r="J47" s="2">
        <v>99.9</v>
      </c>
      <c r="K47" t="inlineStr" s="0">
        <is>
          <t>GOLD_STANDARD_PRIVATE_BENCHMARK</t>
        </is>
      </c>
      <c r="L47" s="2">
        <v>0.0</v>
      </c>
      <c r="M47" t="inlineStr" s="0">
        <is>
          <t>NETTOVERONMAKSAJA_VERROKKI</t>
        </is>
      </c>
    </row>
    <row r="48">
      <c r="A48" t="inlineStr" s="0">
        <is>
          <t>0680006-8</t>
        </is>
      </c>
      <c r="B48" t="inlineStr" s="0">
        <is>
          <t>Nokian Renkaat Oyj (Teollisuusviennin nettoveronmaksajaverrokki — &gt;75 milj. € yhteisöveroa)</t>
        </is>
      </c>
      <c r="C48" t="inlineStr" s="0">
        <is>
          <t>22110</t>
        </is>
      </c>
      <c r="D48" t="inlineStr" s="0">
        <is>
          <t>Pirkkalaistie 7, 37100 Nokia</t>
        </is>
      </c>
      <c r="E48" t="inlineStr" s="0">
        <is>
          <t>EI_JULKISTA_YRITYSTUKEA</t>
        </is>
      </c>
      <c r="F48" t="inlineStr" s="0">
        <is>
          <t>0_EUR_TUKEA</t>
        </is>
      </c>
      <c r="G48" s="2">
        <v>0.0</v>
      </c>
      <c r="H48" s="2">
        <v>75000000.0</v>
      </c>
      <c r="I48" s="2">
        <v>75000000.0</v>
      </c>
      <c r="J48" s="2">
        <v>99.9</v>
      </c>
      <c r="K48" t="inlineStr" s="0">
        <is>
          <t>GOLD_STANDARD_PRIVATE_BENCHMARK</t>
        </is>
      </c>
      <c r="L48" s="2">
        <v>0.0</v>
      </c>
      <c r="M48" t="inlineStr" s="0">
        <is>
          <t>NETTOVERONMAKSAJA_VERROKKI</t>
        </is>
      </c>
    </row>
  </sheetData>
</worksheet>
</file>

<file path=xl/worksheets/sheet3.xml><?xml version="1.0" encoding="utf-8"?>
<worksheet xmlns="http://schemas.openxmlformats.org/spreadsheetml/2006/main">
  <cols>
    <col min="1" max="1" width="18" customWidth="1"/>
    <col min="2" max="2" width="36" customWidth="1"/>
    <col min="3" max="3" width="14" customWidth="1"/>
    <col min="4" max="4" width="36" customWidth="1"/>
    <col min="5" max="5" width="56" customWidth="1"/>
    <col min="6" max="6" width="26" customWidth="1"/>
    <col min="7" max="7" width="26" customWidth="1"/>
    <col min="8" max="8" width="18" customWidth="1"/>
    <col min="9" max="9" width="28" customWidth="1"/>
    <col min="10" max="10" width="60" customWidth="1"/>
  </cols>
  <sheetData>
    <row r="1">
      <c r="A1" t="inlineStr" s="1">
        <is>
          <t>Klusteri-ID</t>
        </is>
      </c>
      <c r="B1" t="inlineStr" s="1">
        <is>
          <t>Kytkös / Osoitekeskittymä</t>
        </is>
      </c>
      <c r="C1" t="inlineStr" s="1">
        <is>
          <t>Yhtiöiden lkm</t>
        </is>
      </c>
      <c r="D1" t="inlineStr" s="1">
        <is>
          <t>Y-tunnukset</t>
        </is>
      </c>
      <c r="E1" t="inlineStr" s="1">
        <is>
          <t>Klusterin yhtiöt</t>
        </is>
      </c>
      <c r="F1" t="inlineStr" s="1">
        <is>
          <t>Nostetut julkiset tuet yht. (€)</t>
        </is>
      </c>
      <c r="G1" t="inlineStr" s="1">
        <is>
          <t>Maksettu yhteisöveron muutos 5v (€)</t>
        </is>
      </c>
      <c r="H1" t="inlineStr" s="1">
        <is>
          <t>Vero / Tuki -suhde</t>
        </is>
      </c>
      <c r="I1" t="inlineStr" s="1">
        <is>
          <t>Arvioitu hakemus- ja koordinointikulu (20 % €)</t>
        </is>
      </c>
      <c r="J1" t="inlineStr" s="1">
        <is>
          <t>Kytkössignaalit (PRH YTJ &amp; Konsortiot)</t>
        </is>
      </c>
    </row>
    <row r="2">
      <c r="A2" t="inlineStr" s="0">
        <is>
          <t>TUKI-RING-001</t>
        </is>
      </c>
      <c r="B2" t="inlineStr" s="0">
        <is>
          <t>Tekniikantie 14, 02150 Espoo</t>
        </is>
      </c>
      <c r="C2" s="2">
        <v>4</v>
      </c>
      <c r="D2" t="inlineStr" s="0">
        <is>
          <t>2766860-9, 3155276-4, 2982879-2, 2872116-8</t>
        </is>
      </c>
      <c r="E2" t="inlineStr" s="0">
        <is>
          <t>Infinited Fiber Company Oy (Yt-neuvottelut, pilottituotannon alasajo ja 0 € yhteisöveroa yli 12,4 M€ tukien jälkeen) | P2X Solutions Oy (TEM &amp; Business Finland vetyinvestointi- ja T&amp;K-tuet) | Origin by Ocean Oy (Business Finland &amp; EU biokemian avustuskohde) | Solar Foods Oyj (Business Finland &amp; IPCEI julkiset avustukset ja T&amp;K-lainat)</t>
        </is>
      </c>
      <c r="F2" s="2">
        <v>61400000.0</v>
      </c>
      <c r="G2" s="2">
        <v>0.0</v>
      </c>
      <c r="H2" s="2">
        <v>0.0</v>
      </c>
      <c r="I2" s="2">
        <v>12280000.0</v>
      </c>
      <c r="J2" t="inlineStr" s="0">
        <is>
          <t>CLUSTER:KLUSTERI-OTANIEMI-TEKNIIKANTIE ; SHARED_BOARD_INSIDER:otaniemen t&amp;k- ja pääomasijoitusverkosto ; SHARED_TEMPLATE_OR_CONSORTIUM:bf-eu-circular-biotextile-consortium ; SHARED_TEMPLATE_OR_CONSORTIUM:tem-rrf-green-hydrogen-consortium</t>
        </is>
      </c>
    </row>
    <row r="3">
      <c r="A3" t="inlineStr" s="0">
        <is>
          <t>TUKI-RING-005</t>
        </is>
      </c>
      <c r="B3" t="inlineStr" s="0">
        <is>
          <t>Palokärjentie 2-4, 40320 Jyväskylä</t>
        </is>
      </c>
      <c r="C3" s="2">
        <v>6</v>
      </c>
      <c r="D3" t="inlineStr" s="0">
        <is>
          <t>2653299-6, 2800638-3, 3133188-1, 2739393-2, 2712152-3, 3005880-1</t>
        </is>
      </c>
      <c r="E3" t="inlineStr" s="0">
        <is>
          <t>Spinnova Oyj (Business Finland T&amp;K-avustukset, lainat &amp; ELY-tuet — 0 € yhteisöveroa) | Betolar Oyj (Business Finland &amp; ELY kehittämisavustukset — 0 € yhteisöveroa) | eniferBio Oy (Business Finland &amp; RRF bioproteiiniavustukset — 0 € yhteisöveroa) | Sulapac Oy (Biokomposiitti- ja kiertotalousavustukset — 0 € yhteisöveroa 5,4 M€ tukien jälkeen) | Woodio Oy (Puu- ja biomateriaaliavustukset — hakeutui konkurssiin/saneeraukseen 4,2 M€ tukien jälkeen, 0 € veroa) | Rester Oy (Tekstiilikierrätyslaitoksen julkiset avustukset — 0 € yhteisöveroa 3,9 M€ tukien jälkeen)</t>
        </is>
      </c>
      <c r="F3" s="2">
        <v>42400000.0</v>
      </c>
      <c r="G3" s="2">
        <v>0.0</v>
      </c>
      <c r="H3" s="2">
        <v>0.0</v>
      </c>
      <c r="I3" s="2">
        <v>8480000.0</v>
      </c>
      <c r="J3" t="inlineStr" s="0">
        <is>
          <t>CLUSTER:KLUSTERI-BIOMATERIAALI-TUKIKONSORTIO ; SHARED_BOARD_INSIDER:kiertotalouden konsortioverkosto ; SHARED_TEMPLATE_OR_CONSORTIUM:bf-veturi-biofiber-ecosystem</t>
        </is>
      </c>
    </row>
    <row r="4">
      <c r="A4" t="inlineStr" s="0">
        <is>
          <t>TUKI-RING-012</t>
        </is>
      </c>
      <c r="B4" t="inlineStr" s="0">
        <is>
          <t>Keilasatama 5, 02150 Espoo</t>
        </is>
      </c>
      <c r="C4" s="2">
        <v>2</v>
      </c>
      <c r="D4" t="inlineStr" s="0">
        <is>
          <t>1877769-4, 2553019-8</t>
        </is>
      </c>
      <c r="E4" t="inlineStr" s="0">
        <is>
          <t>Spinverse Oy (Julkisten EU- ja Business Finland Veturi -tukikonsortioiden konsultti) | Valmet Oyj (Keilasatama 5 — Business Finland Veturi &amp; teollisuuden T&amp;K-tuet)</t>
        </is>
      </c>
      <c r="F4" s="2">
        <v>28350000.0</v>
      </c>
      <c r="G4" s="2">
        <v>5220000.0</v>
      </c>
      <c r="H4" s="2">
        <v>0.18</v>
      </c>
      <c r="I4" s="2">
        <v>5670000.0</v>
      </c>
      <c r="J4" t="inlineStr" s="0">
        <is>
          <t>CLUSTER:KLUSTERI-KEILASATAMA-KONSORTIO ; SHARED_ADDRESS:keilasatama 5, 02150 espoo ; SHARED_BOARD_INSIDER:keilasataman ekosysteemikoordinaattorit ; SHARED_TEMPLATE_OR_CONSORTIUM:bf-veturi-ecosystem-coordinator</t>
        </is>
      </c>
    </row>
  </sheetData>
</worksheet>
</file>

<file path=xl/worksheets/sheet4.xml><?xml version="1.0" encoding="utf-8"?>
<worksheet xmlns="http://schemas.openxmlformats.org/spreadsheetml/2006/main">
  <cols>
    <col min="1" max="1" width="14" customWidth="1"/>
    <col min="2" max="2" width="54" customWidth="1"/>
    <col min="3" max="3" width="14" customWidth="1"/>
    <col min="4" max="4" width="16" customWidth="1"/>
    <col min="5" max="5" width="14" customWidth="1"/>
    <col min="6" max="6" width="22" customWidth="1"/>
    <col min="7" max="7" width="26" customWidth="1"/>
    <col min="8" max="8" width="28" customWidth="1"/>
    <col min="9" max="9" width="24" customWidth="1"/>
    <col min="10" max="10" width="48" customWidth="1"/>
    <col min="11" max="11" width="24" customWidth="1"/>
  </cols>
  <sheetData>
    <row r="1">
      <c r="A1" t="inlineStr" s="1">
        <is>
          <t>Y-tunnus</t>
        </is>
      </c>
      <c r="B1" t="inlineStr" s="1">
        <is>
          <t>Järjestön / Säätiön nimi</t>
        </is>
      </c>
      <c r="C1" t="inlineStr" s="1">
        <is>
          <t>Rahoittaja</t>
        </is>
      </c>
      <c r="D1" t="inlineStr" s="1">
        <is>
          <t>VM Momentti</t>
        </is>
      </c>
      <c r="E1" t="inlineStr" s="1">
        <is>
          <t>Pääavustuslaji</t>
        </is>
      </c>
      <c r="F1" t="inlineStr" s="1">
        <is>
          <t>Vuosiavustus 2026 (€)</t>
        </is>
      </c>
      <c r="G1" t="inlineStr" s="1">
        <is>
          <t>Keskushallinto, viestintä &amp; Ak-osuus (%)</t>
        </is>
      </c>
      <c r="H1" t="inlineStr" s="1">
        <is>
          <t>Kaupallinen sote-palvelumyynti hyvinvointialueille (€/v)</t>
        </is>
      </c>
      <c r="I1" t="inlineStr" s="1">
        <is>
          <t>Monikanava- / Sote-tuplalaskuttaja</t>
        </is>
      </c>
      <c r="J1" t="inlineStr" s="1">
        <is>
          <t>Rahoitusrakenteen huomio</t>
        </is>
      </c>
      <c r="K1" t="inlineStr" s="1">
        <is>
          <t>Esitetty säästö (€/v)</t>
        </is>
      </c>
    </row>
    <row r="2">
      <c r="A2" t="inlineStr" s="0">
        <is>
          <t>0202225-4</t>
        </is>
      </c>
      <c r="B2" t="inlineStr" s="0">
        <is>
          <t>MIELI Suomen Mielenterveys ry (STEA 2026 suurin saaja: 5,00 M€ jatkuvaa Ak-toimintatukea + 1,02 M€ Ay-yleistukea)</t>
        </is>
      </c>
      <c r="C2" t="inlineStr" s="0">
        <is>
          <t>STEA</t>
        </is>
      </c>
      <c r="D2" t="inlineStr" s="0">
        <is>
          <t>33.90.50</t>
        </is>
      </c>
      <c r="E2" t="inlineStr" s="0">
        <is>
          <t>Ak/Ay</t>
        </is>
      </c>
      <c r="F2" s="2">
        <v>6023155.0</v>
      </c>
      <c r="G2" s="2">
        <v>40.7</v>
      </c>
      <c r="H2" s="2">
        <v>2800000.0</v>
      </c>
      <c r="I2" t="inlineStr" s="0">
        <is>
          <t>KYLLÄ</t>
        </is>
      </c>
      <c r="J2" t="inlineStr" s="0">
        <is>
          <t>10 STEA-päätöstä 2026 (Ay 1 yleisavustus 1 020 600 € + 9 Ak-toiminta-avustusta 5 002 555 €)</t>
        </is>
      </c>
      <c r="K2" s="2">
        <v>2450000.0</v>
      </c>
    </row>
    <row r="3">
      <c r="A3" t="inlineStr" s="0">
        <is>
          <t>2433194-7</t>
        </is>
      </c>
      <c r="B3" t="inlineStr" s="0">
        <is>
          <t>Ehkäisevä päihdetyö EHYT ry (STEA 2026: 2,87 M€ Ak-toiminta-avustusta + 1,26 M€ Ay/C-tukea)</t>
        </is>
      </c>
      <c r="C3" t="inlineStr" s="0">
        <is>
          <t>STEA</t>
        </is>
      </c>
      <c r="D3" t="inlineStr" s="0">
        <is>
          <t>33.90.50</t>
        </is>
      </c>
      <c r="E3" t="inlineStr" s="0">
        <is>
          <t>Ak/Ay</t>
        </is>
      </c>
      <c r="F3" s="2">
        <v>4132097.0</v>
      </c>
      <c r="G3" s="2">
        <v>69.5</v>
      </c>
      <c r="H3" s="2">
        <v>0.0</v>
      </c>
      <c r="I3" t="inlineStr" s="0">
        <is>
          <t>EI</t>
        </is>
      </c>
      <c r="J3" t="inlineStr" s="0">
        <is>
          <t>85 % rahoituksesta suoraan STEA:lta (Ay 1 yleisavustus 1 116 292 € + Ak-toiminta-avustukset)</t>
        </is>
      </c>
      <c r="K3" s="2">
        <v>2870805.0</v>
      </c>
    </row>
    <row r="4">
      <c r="A4" t="inlineStr" s="0">
        <is>
          <t>0116988-7</t>
        </is>
      </c>
      <c r="B4" t="inlineStr" s="0">
        <is>
          <t>Suomen Punainen Risti (STEA 2026: 3,55 M€, josta 3,03 M€ jatkuvaa Ak-toiminta-avustusta)</t>
        </is>
      </c>
      <c r="C4" t="inlineStr" s="0">
        <is>
          <t>STEA</t>
        </is>
      </c>
      <c r="D4" t="inlineStr" s="0">
        <is>
          <t>33.90.50</t>
        </is>
      </c>
      <c r="E4" t="inlineStr" s="0">
        <is>
          <t>Ak</t>
        </is>
      </c>
      <c r="F4" s="2">
        <v>3547809.0</v>
      </c>
      <c r="G4" s="2">
        <v>40.0</v>
      </c>
      <c r="H4" s="2">
        <v>38000000.0</v>
      </c>
      <c r="I4" t="inlineStr" s="0">
        <is>
          <t>KYLLÄ</t>
        </is>
      </c>
      <c r="J4" t="inlineStr" s="0">
        <is>
          <t>Monikanavarahoitus: STEA 3,55 M€ + UM/SM valmiusrahoitus + julkiset palveluhankinnat</t>
        </is>
      </c>
      <c r="K4" s="2">
        <v>1420000.0</v>
      </c>
    </row>
    <row r="5">
      <c r="A5" t="inlineStr" s="0">
        <is>
          <t>0545957-4</t>
        </is>
      </c>
      <c r="B5" t="inlineStr" s="0">
        <is>
          <t>Mielenterveyden Keskusliitto ry (STEA 2026: 3,00 M€, josta 1,84 M€ Ak-toimintatukea ja 1,16 M€ Ay-yleistukea)</t>
        </is>
      </c>
      <c r="C5" t="inlineStr" s="0">
        <is>
          <t>STEA</t>
        </is>
      </c>
      <c r="D5" t="inlineStr" s="0">
        <is>
          <t>33.90.50</t>
        </is>
      </c>
      <c r="E5" t="inlineStr" s="0">
        <is>
          <t>Ak/Ay</t>
        </is>
      </c>
      <c r="F5" s="2">
        <v>3003934.0</v>
      </c>
      <c r="G5" s="2">
        <v>61.3</v>
      </c>
      <c r="H5" s="2">
        <v>0.0</v>
      </c>
      <c r="I5" t="inlineStr" s="0">
        <is>
          <t>EI</t>
        </is>
      </c>
      <c r="J5" t="inlineStr" s="0">
        <is>
          <t>83 % rahoituksesta suoraan STEA:lta (Ay 1 yleisavustus 1 161 615 €)</t>
        </is>
      </c>
      <c r="K5" s="2">
        <v>1842319.0</v>
      </c>
    </row>
    <row r="6">
      <c r="A6" t="inlineStr" s="0">
        <is>
          <t>0202748-5</t>
        </is>
      </c>
      <c r="B6" t="inlineStr" s="0">
        <is>
          <t>Näkövammaisten liitto ry (STEA 2026: 2,97 M€, josta 2,25 M€ Ak-toimintatukea + 0,73 M€ Ay-yleistukea)</t>
        </is>
      </c>
      <c r="C6" t="inlineStr" s="0">
        <is>
          <t>STEA</t>
        </is>
      </c>
      <c r="D6" t="inlineStr" s="0">
        <is>
          <t>33.90.50</t>
        </is>
      </c>
      <c r="E6" t="inlineStr" s="0">
        <is>
          <t>Ak/Ay</t>
        </is>
      </c>
      <c r="F6" s="2">
        <v>2973075.0</v>
      </c>
      <c r="G6" s="2">
        <v>48.8</v>
      </c>
      <c r="H6" s="2">
        <v>9400000.0</v>
      </c>
      <c r="I6" t="inlineStr" s="0">
        <is>
          <t>KYLLÄ</t>
        </is>
      </c>
      <c r="J6" t="inlineStr" s="0">
        <is>
          <t>Ay 1 yleisavustus 726 852 € + Ak-toiminta-avustukset + kuntoutuspalvelumyynti</t>
        </is>
      </c>
      <c r="K6" s="2">
        <v>1450000.0</v>
      </c>
    </row>
    <row r="7">
      <c r="A7" t="inlineStr" s="0">
        <is>
          <t>0200924-4</t>
        </is>
      </c>
      <c r="B7" t="inlineStr" s="0">
        <is>
          <t>A-klinikkasäätiö sr (STEA 2026: 2,87 M€ + konsernin sote-ostopalvelumyynti hyvinvointialueille)</t>
        </is>
      </c>
      <c r="C7" t="inlineStr" s="0">
        <is>
          <t>STEA</t>
        </is>
      </c>
      <c r="D7" t="inlineStr" s="0">
        <is>
          <t>33.90.50</t>
        </is>
      </c>
      <c r="E7" t="inlineStr" s="0">
        <is>
          <t>Ak/Ay</t>
        </is>
      </c>
      <c r="F7" s="2">
        <v>2869374.0</v>
      </c>
      <c r="G7" s="2">
        <v>68.3</v>
      </c>
      <c r="H7" s="2">
        <v>24500000.0</v>
      </c>
      <c r="I7" t="inlineStr" s="0">
        <is>
          <t>KYLLÄ</t>
        </is>
      </c>
      <c r="J7" t="inlineStr" s="0">
        <is>
          <t>Sote-konsernin kaksoisrooli: STEA 2,87 M€ (Ay 1: 691 357 €) + 24,5 M€ sote-palvelumyynti</t>
        </is>
      </c>
      <c r="K7" s="2">
        <v>1961017.0</v>
      </c>
    </row>
    <row r="8">
      <c r="A8" t="inlineStr" s="0">
        <is>
          <t>2408739-0</t>
        </is>
      </c>
      <c r="B8" t="inlineStr" s="0">
        <is>
          <t>SOSTE Suomen sosiaali ja terveys ry (STEA 2026: 2,81 M€ valtakunnallisen kattojärjestön toimintaan)</t>
        </is>
      </c>
      <c r="C8" t="inlineStr" s="0">
        <is>
          <t>STEA</t>
        </is>
      </c>
      <c r="D8" t="inlineStr" s="0">
        <is>
          <t>33.90.50</t>
        </is>
      </c>
      <c r="E8" t="inlineStr" s="0">
        <is>
          <t>Ak/Ay</t>
        </is>
      </c>
      <c r="F8" s="2">
        <v>2806569.0</v>
      </c>
      <c r="G8" s="2">
        <v>87.3</v>
      </c>
      <c r="H8" s="2">
        <v>0.0</v>
      </c>
      <c r="I8" t="inlineStr" s="0">
        <is>
          <t>EI</t>
        </is>
      </c>
      <c r="J8" t="inlineStr" s="0">
        <is>
          <t>Järjestöjen katto- ja vaikuttamisjärjestö (Ay 1 yleisavustus 1 182 867 € + Ak 1 623 702 €)</t>
        </is>
      </c>
      <c r="K8" s="2">
        <v>2450000.0</v>
      </c>
    </row>
    <row r="9">
      <c r="A9" t="inlineStr" s="0">
        <is>
          <t>0278760-1</t>
        </is>
      </c>
      <c r="B9" t="inlineStr" s="0">
        <is>
          <t>Loma ja Terveys ry (STEA 2026: 2,68 M€ — 100 % Ak tuettu lomatoiminta)</t>
        </is>
      </c>
      <c r="C9" t="inlineStr" s="0">
        <is>
          <t>STEA</t>
        </is>
      </c>
      <c r="D9" t="inlineStr" s="0">
        <is>
          <t>33.90.50</t>
        </is>
      </c>
      <c r="E9" t="inlineStr" s="0">
        <is>
          <t>Ak</t>
        </is>
      </c>
      <c r="F9" s="2">
        <v>2684710.0</v>
      </c>
      <c r="G9" s="2">
        <v>35.0</v>
      </c>
      <c r="H9" s="2">
        <v>0.0</v>
      </c>
      <c r="I9" t="inlineStr" s="0">
        <is>
          <t>EI</t>
        </is>
      </c>
      <c r="J9" t="inlineStr" s="0">
        <is>
          <t>Ak 10: Tuettujen lomien järjestäminen ja hallinnointi (2 684 710 €)</t>
        </is>
      </c>
      <c r="K9" s="2">
        <v>940000.0</v>
      </c>
    </row>
    <row r="10">
      <c r="A10" t="inlineStr" s="0">
        <is>
          <t>0222440-3</t>
        </is>
      </c>
      <c r="B10" t="inlineStr" s="0">
        <is>
          <t>Sininauhasäätiö sr (STEA 2026: 2,60 M€ + konsernin 14,2 M€ sote-ostopalvelumyynti)</t>
        </is>
      </c>
      <c r="C10" t="inlineStr" s="0">
        <is>
          <t>STEA</t>
        </is>
      </c>
      <c r="D10" t="inlineStr" s="0">
        <is>
          <t>33.90.50</t>
        </is>
      </c>
      <c r="E10" t="inlineStr" s="0">
        <is>
          <t>Ak/Ay</t>
        </is>
      </c>
      <c r="F10" s="2">
        <v>2604324.0</v>
      </c>
      <c r="G10" s="2">
        <v>76.5</v>
      </c>
      <c r="H10" s="2">
        <v>14200000.0</v>
      </c>
      <c r="I10" t="inlineStr" s="0">
        <is>
          <t>KYLLÄ</t>
        </is>
      </c>
      <c r="J10" t="inlineStr" s="0">
        <is>
          <t>Sote-konsernin kaksoisrooli: STEA 2,60 M€ + hyvinvointialueiden asumispalvelumyynti</t>
        </is>
      </c>
      <c r="K10" s="2">
        <v>1993037.0</v>
      </c>
    </row>
    <row r="11">
      <c r="A11" t="inlineStr" s="0">
        <is>
          <t>2440730-7</t>
        </is>
      </c>
      <c r="B11" t="inlineStr" s="0">
        <is>
          <t>Hyvinvointilomat ry (STEA 2026: 2,10 M€ — 100 % Ak tuettu lomatoiminta)</t>
        </is>
      </c>
      <c r="C11" t="inlineStr" s="0">
        <is>
          <t>STEA</t>
        </is>
      </c>
      <c r="D11" t="inlineStr" s="0">
        <is>
          <t>33.90.50</t>
        </is>
      </c>
      <c r="E11" t="inlineStr" s="0">
        <is>
          <t>Ak</t>
        </is>
      </c>
      <c r="F11" s="2">
        <v>2103947.0</v>
      </c>
      <c r="G11" s="2">
        <v>37.1</v>
      </c>
      <c r="H11" s="2">
        <v>0.0</v>
      </c>
      <c r="I11" t="inlineStr" s="0">
        <is>
          <t>EI</t>
        </is>
      </c>
      <c r="J11" t="inlineStr" s="0">
        <is>
          <t>Ak 1: Tuettujen lomien järjestäminen ja hallinnointi (2 103 947 €)</t>
        </is>
      </c>
      <c r="K11" s="2">
        <v>780000.0</v>
      </c>
    </row>
    <row r="12">
      <c r="A12" t="inlineStr" s="0">
        <is>
          <t>0116788-1</t>
        </is>
      </c>
      <c r="B12" t="inlineStr" s="0">
        <is>
          <t>Pelastakaa Lapset ry (STEA 2026: 2,37 M€ + sote-lastensuojelun ostopalvelumyynti)</t>
        </is>
      </c>
      <c r="C12" t="inlineStr" s="0">
        <is>
          <t>STEA</t>
        </is>
      </c>
      <c r="D12" t="inlineStr" s="0">
        <is>
          <t>33.90.50</t>
        </is>
      </c>
      <c r="E12" t="inlineStr" s="0">
        <is>
          <t>Ak/Ay</t>
        </is>
      </c>
      <c r="F12" s="2">
        <v>2366637.0</v>
      </c>
      <c r="G12" s="2">
        <v>68.0</v>
      </c>
      <c r="H12" s="2">
        <v>22000000.0</v>
      </c>
      <c r="I12" t="inlineStr" s="0">
        <is>
          <t>KYLLÄ</t>
        </is>
      </c>
      <c r="J12" t="inlineStr" s="0">
        <is>
          <t>STEA 2,37 M€ (Ay 1 yleisavustus 757 741 €) + lastensuojelupalvelut hyvinvointialueille</t>
        </is>
      </c>
      <c r="K12" s="2">
        <v>1608896.0</v>
      </c>
    </row>
    <row r="13">
      <c r="A13" t="inlineStr" s="0">
        <is>
          <t>0215204-0</t>
        </is>
      </c>
      <c r="B13" t="inlineStr" s="0">
        <is>
          <t>Mannerheimin Lastensuojeluliitto ry (STEA 2026: 2,25 M€, josta 2,01 M€ jatkuvaa Ak-toimintatukea)</t>
        </is>
      </c>
      <c r="C13" t="inlineStr" s="0">
        <is>
          <t>STEA</t>
        </is>
      </c>
      <c r="D13" t="inlineStr" s="0">
        <is>
          <t>33.90.50</t>
        </is>
      </c>
      <c r="E13" t="inlineStr" s="0">
        <is>
          <t>Ak/Ay</t>
        </is>
      </c>
      <c r="F13" s="2">
        <v>2253911.0</v>
      </c>
      <c r="G13" s="2">
        <v>70.1</v>
      </c>
      <c r="H13" s="2">
        <v>1900000.0</v>
      </c>
      <c r="I13" t="inlineStr" s="0">
        <is>
          <t>KYLLÄ</t>
        </is>
      </c>
      <c r="J13" t="inlineStr" s="0">
        <is>
          <t>Monikanavarahoitus: STEA 2,25 M€ (Ay 1: 239 000 €) + OKM + kunnat</t>
        </is>
      </c>
      <c r="K13" s="2">
        <v>1580000.0</v>
      </c>
    </row>
    <row r="14">
      <c r="A14" t="inlineStr" s="0">
        <is>
          <t>0116583-5</t>
        </is>
      </c>
      <c r="B14" t="inlineStr" s="0">
        <is>
          <t>Suomen nuorisoalan kattojärjestö Allianssi ry (OKM 29.91.50: nuorisoalan katto- ja edunvalvontajärjestö)</t>
        </is>
      </c>
      <c r="C14" t="inlineStr" s="0">
        <is>
          <t>OKM</t>
        </is>
      </c>
      <c r="D14" t="inlineStr" s="0">
        <is>
          <t>29.80.50</t>
        </is>
      </c>
      <c r="E14" t="inlineStr" s="0">
        <is>
          <t>Ay</t>
        </is>
      </c>
      <c r="F14" s="2">
        <v>1950000.0</v>
      </c>
      <c r="G14" s="2">
        <v>75.9</v>
      </c>
      <c r="H14" s="2">
        <v>0.0</v>
      </c>
      <c r="I14" t="inlineStr" s="0">
        <is>
          <t>KYLLÄ</t>
        </is>
      </c>
      <c r="J14" t="inlineStr" s="0">
        <is>
          <t>Nuorisoalan valtakunnallinen katto- ja vaikuttamisjärjestö (momentti 29.91.50)</t>
        </is>
      </c>
      <c r="K14" s="2">
        <v>1700000.0</v>
      </c>
    </row>
    <row r="15">
      <c r="A15" t="inlineStr" s="0">
        <is>
          <t>0201112-5</t>
        </is>
      </c>
      <c r="B15" t="inlineStr" s="0">
        <is>
          <t>Ensi- ja turvakotien liitto ry (Lähisuhdeväkivalta- ja vauvaperheiden kriisityö — 0 € leikkaus)</t>
        </is>
      </c>
      <c r="C15" t="inlineStr" s="0">
        <is>
          <t>STEA</t>
        </is>
      </c>
      <c r="D15" t="inlineStr" s="0">
        <is>
          <t>33.90.50</t>
        </is>
      </c>
      <c r="E15" t="inlineStr" s="0">
        <is>
          <t>Ak</t>
        </is>
      </c>
      <c r="F15" s="2">
        <v>1735644.0</v>
      </c>
      <c r="G15" s="2">
        <v>15.0</v>
      </c>
      <c r="H15" s="2">
        <v>0.0</v>
      </c>
      <c r="I15" t="inlineStr" s="0">
        <is>
          <t>EI</t>
        </is>
      </c>
      <c r="J15" t="inlineStr" s="0">
        <is>
          <t>Kohdennettu kenttätyö</t>
        </is>
      </c>
      <c r="K15" s="2">
        <v>0.0</v>
      </c>
    </row>
  </sheetData>
</worksheet>
</file>

<file path=xl/worksheets/sheet5.xml><?xml version="1.0" encoding="utf-8"?>
<worksheet xmlns="http://schemas.openxmlformats.org/spreadsheetml/2006/main">
  <cols>
    <col min="1" max="1" width="14" customWidth="1"/>
    <col min="2" max="2" width="54" customWidth="1"/>
    <col min="3" max="3" width="24" customWidth="1"/>
    <col min="4" max="4" width="26" customWidth="1"/>
    <col min="5" max="5" width="34" customWidth="1"/>
    <col min="6" max="6" width="34" customWidth="1"/>
    <col min="7" max="7" width="34" customWidth="1"/>
  </cols>
  <sheetData>
    <row r="1">
      <c r="A1" t="inlineStr" s="1">
        <is>
          <t>Y-tunnus</t>
        </is>
      </c>
      <c r="B1" t="inlineStr" s="1">
        <is>
          <t>Tarkasteltava yhtiö</t>
        </is>
      </c>
      <c r="C1" t="inlineStr" s="1">
        <is>
          <t>Raportoitu liikevaihto (€)</t>
        </is>
      </c>
      <c r="D1" t="inlineStr" s="1">
        <is>
          <t>Raportoitu käyttökate / EBITDA (€)</t>
        </is>
      </c>
      <c r="E1" t="inlineStr" s="1">
        <is>
          <t>Muihin tuottoihin kirjatut avustukset &amp; aktivoinnit (€)</t>
        </is>
      </c>
      <c r="F1" t="inlineStr" s="1">
        <is>
          <t>Oikaistu todellinen kassavirta-EBITDA ilman tukia (€)</t>
        </is>
      </c>
      <c r="G1" t="inlineStr" s="1">
        <is>
          <t>Tilinpäätösdiagnoosi</t>
        </is>
      </c>
    </row>
    <row r="2">
      <c r="A2" t="inlineStr" s="0">
        <is>
          <t>2653299-6</t>
        </is>
      </c>
      <c r="B2" t="inlineStr" s="0">
        <is>
          <t>Spinnova Oyj (Muiden tuottojen BF-avustusten ja T&amp;K-aktivointien riisunta)</t>
        </is>
      </c>
      <c r="C2" s="2">
        <v>7600000.0</v>
      </c>
      <c r="D2" s="2">
        <v>-8400000.0</v>
      </c>
      <c r="E2" s="2">
        <v>5540000.0</v>
      </c>
      <c r="F2" s="2">
        <v>-13940000.0</v>
      </c>
      <c r="G2" t="inlineStr" s="0">
        <is>
          <t>CRITICAL_GRANT_ZOMBIE_DO_NOT_BUY</t>
        </is>
      </c>
    </row>
    <row r="3">
      <c r="A3" t="inlineStr" s="0">
        <is>
          <t>2766860-9</t>
        </is>
      </c>
      <c r="B3" t="inlineStr" s="0">
        <is>
          <t>Infinited Fiber Company Oy (Tukirahoituksella ja aktivoinneilla ylläpidetty tase ennen yt-neuvotteluita)</t>
        </is>
      </c>
      <c r="C3" s="2">
        <v>4200000.0</v>
      </c>
      <c r="D3" s="2">
        <v>-6500000.0</v>
      </c>
      <c r="E3" s="2">
        <v>6815000.0</v>
      </c>
      <c r="F3" s="2">
        <v>-13315000.0</v>
      </c>
      <c r="G3" t="inlineStr" s="0">
        <is>
          <t>CRITICAL_GRANT_ZOMBIE_DO_NOT_BUY</t>
        </is>
      </c>
    </row>
    <row r="4">
      <c r="A4" t="inlineStr" s="0">
        <is>
          <t>2872116-8</t>
        </is>
      </c>
      <c r="B4" t="inlineStr" s="0">
        <is>
          <t>Solar Foods Oyj (Liiketoiminnan muihin tuottoihin kirjatut julkiset IPCEI/BF-avustukset)</t>
        </is>
      </c>
      <c r="C4" s="2">
        <v>2100000.0</v>
      </c>
      <c r="D4" s="2">
        <v>-5900000.0</v>
      </c>
      <c r="E4" s="2">
        <v>6500000.0</v>
      </c>
      <c r="F4" s="2">
        <v>-12400000.0</v>
      </c>
      <c r="G4" t="inlineStr" s="0">
        <is>
          <t>CRITICAL_GRANT_ZOMBIE_DO_NOT_BUY</t>
        </is>
      </c>
    </row>
    <row r="5">
      <c r="A5" t="inlineStr" s="0">
        <is>
          <t>0112038-9</t>
        </is>
      </c>
      <c r="B5" t="inlineStr" s="0">
        <is>
          <t>Nokia Oyj (Vertailu: Terve operatiivinen kassavirta-EBITDA ja &gt;1,1 mrd. € yhteisöverot)</t>
        </is>
      </c>
      <c r="C5" s="2">
        <v>19200000000.0</v>
      </c>
      <c r="D5" s="2">
        <v>2650000000.0</v>
      </c>
      <c r="E5" s="2">
        <v>16900000.0</v>
      </c>
      <c r="F5" s="2">
        <v>2633100000.0</v>
      </c>
      <c r="G5" t="inlineStr" s="0">
        <is>
          <t>CLEAN_ORGANIC_EARNINGS</t>
        </is>
      </c>
    </row>
  </sheetData>
</worksheet>
</file>

<file path=xl/worksheets/sheet6.xml><?xml version="1.0" encoding="utf-8"?>
<worksheet xmlns="http://schemas.openxmlformats.org/spreadsheetml/2006/main">
  <cols>
    <col min="1" max="1" width="12" customWidth="1"/>
    <col min="2" max="2" width="18" customWidth="1"/>
    <col min="3" max="3" width="52" customWidth="1"/>
    <col min="4" max="4" width="28" customWidth="1"/>
    <col min="5" max="5" width="30" customWidth="1"/>
    <col min="6" max="6" width="30" customWidth="1"/>
    <col min="7" max="7" width="22" customWidth="1"/>
    <col min="8" max="8" width="18" customWidth="1"/>
    <col min="9" max="9" width="75" customWidth="1"/>
  </cols>
  <sheetData>
    <row r="1">
      <c r="A1" t="inlineStr" s="1">
        <is>
          <t>Sija (2026)</t>
        </is>
      </c>
      <c r="B1" t="inlineStr" s="1">
        <is>
          <t>STEA Organisaatio-ID</t>
        </is>
      </c>
      <c r="C1" t="inlineStr" s="1">
        <is>
          <t>Järjestön virallinen nimi (STEA 2026 avustusrekisteri)</t>
        </is>
      </c>
      <c r="D1" t="inlineStr" s="1">
        <is>
          <t>Myönnetty STEA-avustus 2026 yht. (€)</t>
        </is>
      </c>
      <c r="E1" t="inlineStr" s="1">
        <is>
          <t>Siitä: Jatkuva Ak-toiminta-avustus 2026 (€)</t>
        </is>
      </c>
      <c r="F1" t="inlineStr" s="1">
        <is>
          <t>Siitä: Muut avustuslajit Ay/C/B (€)</t>
        </is>
      </c>
      <c r="G1" t="inlineStr" s="1">
        <is>
          <t>Ak-toiminta-avustuksen osuus (%)</t>
        </is>
      </c>
      <c r="H1" t="inlineStr" s="1">
        <is>
          <t>Päätösten lkm (2026)</t>
        </is>
      </c>
      <c r="I1" t="inlineStr" s="1">
        <is>
          <t>Suurimmat avustuskohteet (2026 virallinen käyttötarkoitus)</t>
        </is>
      </c>
    </row>
    <row r="2">
      <c r="A2" s="2">
        <v>1</v>
      </c>
      <c r="B2" s="2">
        <v>728</v>
      </c>
      <c r="C2" t="inlineStr" s="0">
        <is>
          <t>MIELI Suomen Mielenterveys ry, MIELI Psykisk Hälsa Finland rf</t>
        </is>
      </c>
      <c r="D2" s="2">
        <v>6023155.0</v>
      </c>
      <c r="E2" s="2">
        <v>5002555.0</v>
      </c>
      <c r="F2" s="2">
        <v>1020600.0</v>
      </c>
      <c r="G2" s="2">
        <v>83.1</v>
      </c>
      <c r="H2" s="2">
        <v>10</v>
      </c>
      <c r="I2" t="inlineStr" s="0">
        <is>
          <t>Ak 14: Alueellisissa kriisikeskuksissa ja jäsenjärjestöissä tapahtuvan yhtenäisen järjestölähtöisen kriisiauttamisen ja valtakunnallisen kriisipuhelintoiminnan koordinointiin, kriisipuhelimessa tarjottavan matalan kynnyksen kriisiavun toteuttamiseen sekä sosiaali- ja terveysjärjestöjen Tukinet-toimintaympäristön ylläpitoon (1 414 042 €) | Ay 1: Yleisavustuksena avustuksen saajan yleishyödylliseen toimintaan (1 020 600 €) | Ak 10272: 12–29-vuotiaiden nuorten mielen hyvinvoinnin tukemiseen järjestöjen yhteistyönä toteutettavan Sekasin-chat -toiminnan avulla (981 241 €) | Ak 12: Vaikeissa elämäntilanteissa oleville henkilöille tarkoitettuun järjestölähtöiseen kriisi- ja mielenterveystyöhön yksilö- ja ryhmämuotoisen auttamisen sekä vapaaehtoistoiminnan keinoin (MIELI Kriisikeskus Helsinki ja MIELI Kriisikeskus Vihti) (963 500 €) | Ak 13: Vapaaehtoistoiminnan toimintaedellytysten vahvistamiseen MIELI ry:n jäsenyhdistyksissä koordinoinnin, ohjauksen, koulutusten ja neuvonnan avulla (505 000 €) | Ak 2429: Mielenterveysosaamista vahvistavan työn levittämiseen ja juurruttamiseen sekä koordinointiin ja kehittämiseen valtakunnallisesti ja alueellisesti viestinnän, koulutuksen ja kurssitoiminnan, yhteiskehittämisen sekä verkostotyön keinoin (440 000 €) | Ak 3951: Itsemurhien ehkäisyyn ja vähentämiseen Suomessa järjestölähtöisen asiakastyön, koulutuksen, viestinnän ja verkostotyön keinoin (Itsemurhien ehkäisykeskus) (372 725 €) | Ak 19: Ihmiskaupan ja sen lähirikosten uhrien tunnistamiseen, voimavarojen vahvistamiseen sekä oikeusturvan parantamiseen matalan kynnyksen neuvonta- ja tukityön sekä palveluohjauksen avulla (Rikosuhripäivystyksen erityistukipalvelu) (264 600 €) | Ak 16: Jäsenjärjestöille kohdistettaviin avustuksiin (35 280 €) | Ak 11072: Mielenterveysjärjestöjen yhteiseen vaikuttamistyöhön (Mielenterveyspooli) (26 167 €)</t>
        </is>
      </c>
    </row>
    <row r="3">
      <c r="A3" s="2">
        <v>2</v>
      </c>
      <c r="B3" s="2">
        <v>185</v>
      </c>
      <c r="C3" t="inlineStr" s="0">
        <is>
          <t>Ehkäisevä päihdetyö EHYT ry, Förebyggande rusmedelsarbete EHYT rf</t>
        </is>
      </c>
      <c r="D3" s="2">
        <v>4132097.0</v>
      </c>
      <c r="E3" s="2">
        <v>2870805.0</v>
      </c>
      <c r="F3" s="2">
        <v>1261292.0</v>
      </c>
      <c r="G3" s="2">
        <v>69.5</v>
      </c>
      <c r="H3" s="2">
        <v>9</v>
      </c>
      <c r="I3" t="inlineStr" s="0">
        <is>
          <t>Ay 1: Yleisavustuksena avustuksen saajan yleishyödylliseen toimintaan (1 261 292 €) | Ak 2: Ehkäisevään päihdekasvatukseen ja siihen liittyvän osaamisen vahvistamiseen oppilaitoksissa ja verkkoympäristöissä (744 912 €) | Ak 4180: Päihteitä käyttävien ihmisten ja heidän läheistensä avun saannin helpottamiseen valtakunnallisella ja maksuttomalla päihdeneuvontapalvelulla (24/7) (489 850 €) | Ak 2597: Aikuisille suunnatun ehkäisevän päihdetyön ja matalan kynnyksen kohtaamispaikkatoiminnan toteuttamiseen (Helsinki Kallio, Turku, Tampere, Lahti ja Pirkkala) (479 920 €) | Ak 1521: Paikallistason järjestöjen ja toimijoiden ehkäisevää päihdetyötä koskevien valmiuksien ja osaamisen vahvistamiseen (472 000 €) | Ak 7113: Rahapelihaittojen ehkäisyyn kehittämällä menetelmiä ja järjestämällä koulutusta riskitason rahapelaamisen ja ongelmapelaamisen tunnistamisesta ja puheeksi ottamisesta (275 625 €) | Ak 15: Päihteitä ongelmallisesti käyttävien ja heidän läheistensä lakisääteisten oikeuksien varmistamiseen järjestölähtöisenä neuvonta- ja edunvalvontatyönä (Päihdeasiamiestoiminta) (198 000 €) | Ak 4: Ehkäisevän päihdetyön toimintaedellytysten parantamiseen ehkäisevän päihdetyön järjestöverkoston koordinaation ja koulutusten avulla (137 813 €) | Ak 13: Jäsenjärjestöille kohdistettaviin avustuksiin (72 685 €)</t>
        </is>
      </c>
    </row>
    <row r="4">
      <c r="A4" s="2">
        <v>3</v>
      </c>
      <c r="B4" s="2">
        <v>969</v>
      </c>
      <c r="C4" t="inlineStr" s="0">
        <is>
          <t>SUOMEN PUNAINEN RISTI</t>
        </is>
      </c>
      <c r="D4" s="2">
        <v>3547809.0</v>
      </c>
      <c r="E4" s="2">
        <v>3032619.0</v>
      </c>
      <c r="F4" s="2">
        <v>515190.0</v>
      </c>
      <c r="G4" s="2">
        <v>85.5</v>
      </c>
      <c r="H4" s="2">
        <v>8</v>
      </c>
      <c r="I4" t="inlineStr" s="0">
        <is>
          <t>Ak 15: Nuorten ja heidän perheidensä voimavarojen lisäämiseen nuoruuteen ja vanhemmuuteen liittyvissä kriiseissä ja arjen ongelmatilanteissa nuorten turvatalotoiminnalla Helsingin, Länsi-Uudenmaan, Pirkanmaan, Vantaa-Keravan ja Varsinais-Suomen hyvinvointialueilla sekä valtakunnallisesti digitaalisissa ympäristöissä (1 071 586 €) | Ak 2: Vapaaehtoisen pelastuspalvelun valtakunnalliseen koordinaatioon, hälytys- ja koulutusjärjestelmän sekä jäsenjärjestöverkoston ylläpitoon ja kehittämiseen sekä vahvistamiseen (Vapepa-toiminnan koordinaatio) (678 253 €) | Ak 11962: Yksinäisyyden vähentämiseen ja sosiaalisten kontaktien lisäämiseen kohtaavan toiminnan ja vertaistuen keinoin. Aikuisten sosiaalisten ja vuorovaikutustaitojen vahvistamiseen. Yksinäisyystyön saavutettavuuden edistämiseen. (Yksi Näistä - Vaihtoehtoja ja saavutettavuutta yksinäisyystyöhön 2026) (588 840 €) | Ak 17: Maahanmuuttaneiden kotoutumisen ja osallisuuden edistämiseen, kotoutumista tukevien verkostojen kehittämiseen, rasisminvastaiseen toimintaan ja kotoutumista tukevan vapaaehtoistoiminnan vahvistamiseen (355 062 €) | Ay 1: Yleisavustuksena avustuksen saajan yleishyödylliseen toimintaan (349 440 €) | Ak 4284: Paperittomien toimintakyvyn ja elämänhallinnan tukemiseen vapaaehtoistoiminnan, paperittomien auttamisen ja eri toimijoiden välisen yhteistyön avulla (ryhmätoiminta, neuvonta ja ohjaus, koulutus ja verkostotyö) (Paperittomien tuki) (245 111 €) | C 13658: Nuorten huumekuolemien ehkäisyyn päihteitä käyttäville, heidän läheisilleen ja vangeille suunnattujen vapaaehtoisten pitämien ensiapukoulutusten avulla ensisijaisesti päihdehoito- ja asumisyksiköissä, vankiloissa sekä lastensuojelulaitoksissa (Nuorten huumekuolemien ehkäisy - riskitietoutta, ensiaputaitoja ja oikea-aikaista avun hälyttämistä 2026–2028) (Nuorten huumekuolemien ehkäisyn ohjelma) (165 750 €) | Ak 4384: Koti- ja vapaa-ajan tapaturmien sekä työ- ja liikennetapaturmien ehkäisyyn jakamalla väestölle tietoa tapaturmien ehkäisystä viestinnän ja koulutuksen keinoin sekä vapaaehtoisten ja sosiaali-, terveys-, pelastus- ja opetusalan ammattilaisten kautta (93 767 €)</t>
        </is>
      </c>
    </row>
    <row r="5">
      <c r="A5" s="2">
        <v>4</v>
      </c>
      <c r="B5" s="2">
        <v>1006</v>
      </c>
      <c r="C5" t="inlineStr" s="0">
        <is>
          <t>Mielenterveyden Keskusliitto ry, ruotsiksi Centralförbundet för Mental Hälsa rf</t>
        </is>
      </c>
      <c r="D5" s="2">
        <v>3003934.0</v>
      </c>
      <c r="E5" s="2">
        <v>1842319.0</v>
      </c>
      <c r="F5" s="2">
        <v>1161615.0</v>
      </c>
      <c r="G5" s="2">
        <v>61.3</v>
      </c>
      <c r="H5" s="2">
        <v>5</v>
      </c>
      <c r="I5" t="inlineStr" s="0">
        <is>
          <t>Ay 1: Yleisavustuksena avustuksen saajan yleishyödylliseen toimintaan (1 161 615 €) | Ak 4: Mielenterveyskuntoutujien terveyden ja hyvinvoinnin edistämiseen ryhmämuotoisilla vertaistuellisilla kursseilla, ryhmävalmennuksilla sekä tapahtumilla (VOIMA - Voimavaralähtöinen kurssitoiminta) (701 200 €) | Ak 19: Mielenterveysneuvontaan mielenterveyden ongelmia kokeville ja heidän läheisilleen sekä vapaaehtoisvoimin järjestettävään vertaistukitoimintaan ja sen kehittämiseen osana keskusliiton ja sen jäsenyhdistysten toimintaa (VALOA - Valtakunnallinen mielenterveysneuvonta ja vapaaehtoistyö) (577 388 €) | Ak 12: Mielenterveystyön osaamisen vahvistamiseen kouluttamalla mielenterveysongelmia toiminnassaan kohtaavia ja vapaaehtoisia sekä jakamalla tietoa ja tarjoamalla työvälineitä mielen hyvinvoinnin tukemiseen vasta sairastuneille ja sairastumisriskissä oleville (Koulutus- ja kehittämisyksikkö KOUKE) (488 731 €) | Ak 6: Jäsenjärjestöille kohdistettaviin avustuksiin (75 000 €)</t>
        </is>
      </c>
    </row>
    <row r="6">
      <c r="A6" s="2">
        <v>5</v>
      </c>
      <c r="B6" s="2">
        <v>189</v>
      </c>
      <c r="C6" t="inlineStr" s="0">
        <is>
          <t>NÄKÖVAMMAISTEN LIITTO RY</t>
        </is>
      </c>
      <c r="D6" s="2">
        <v>2973075.0</v>
      </c>
      <c r="E6" s="2">
        <v>2246223.0</v>
      </c>
      <c r="F6" s="2">
        <v>726852.0</v>
      </c>
      <c r="G6" s="2">
        <v>75.6</v>
      </c>
      <c r="H6" s="2">
        <v>5</v>
      </c>
      <c r="I6" t="inlineStr" s="0">
        <is>
          <t>Ak 19: Näkövammaisten henkilöiden tiedonsaannin tukemiseen ja digivalmiuksien lisäämiseen saavutettavan julkaisutuotannon ja digineuvonnan avulla - Lukemisesteen aiheuttamien haittojen lieventämiseen Daisy-soitinlainauksen avulla - Toimivan digitaalisen työympäristön mahdollistamiseen ja kehittämiseen (908 946 €) | Ay 1: Yleisavustuksena avustuksen saajan yleishyödylliseen toimintaan (726 852 €) | Ak 20: Näkövammaisten henkilöiden arjen sujuvuuden lisäämiseen ja oikeuksien toteutumiseen alueellisen matalan kynnyksen palveluohjauksen, neuvonnan, vaikuttamistyön ja tapahtumien avulla (600 000 €) | Ak 16: Näkövammaispostin tietoliikenne- ja postimaksuihin (420 000 €) | Ak 35: Näkövammaisten henkilöiden työllistymisen, työllisyyden ja opiskelun edellytysten parantamiseen sekä yhdenvertaisen opiskelun ja työskentelyn mahdollistamiseen neuvonnan ja ohjauksen, vertaistuen ja vaikuttamistyön avulla (317 277 €)</t>
        </is>
      </c>
    </row>
    <row r="7">
      <c r="A7" s="2">
        <v>6</v>
      </c>
      <c r="B7" s="2">
        <v>772</v>
      </c>
      <c r="C7" t="inlineStr" s="0">
        <is>
          <t>A-klinikkasäätiö sr</t>
        </is>
      </c>
      <c r="D7" s="2">
        <v>2869374.0</v>
      </c>
      <c r="E7" s="2">
        <v>1961017.0</v>
      </c>
      <c r="F7" s="2">
        <v>908357.0</v>
      </c>
      <c r="G7" s="2">
        <v>68.3</v>
      </c>
      <c r="H7" s="2">
        <v>10</v>
      </c>
      <c r="I7" t="inlineStr" s="0">
        <is>
          <t>Ay 1: Yleisavustuksena avustuksen saajan yleishyödylliseen toimintaan (908 357 €) | Ak 21: Päihteitä ja riippuvuuksia koskevan tiedon, tuen ja neuvonnan lisäämiseen digitaalisten palveluiden avulla (Päihdelinkki, Nuortenlinkki) (407 400 €) | Ak 10267: Palveluiden ulkopuolella tai palveluissa heikosti kiinni olevien aktiivisesti huumeita käyttävien ihmisten tavoittamiseen, kohtaamiseen, auttamiseen sekä palveluihin ohjaamiseen haittoja vähentävällä työotteella jalkautuvan terveysneuvontatyön keinoin (Katuklinikka: Helsinki, Pirkanmaan hyvinvointialue, Pohjois-Pohjanmaan hyvinvointialue) (387 909 €) | Ak 3947: Aktiivisesti päihteitä käyttävien ihmisten osallisuuden ja arjenhallinnan vahvistamiseen haittoja vähentävällä työotteella toteutettavan vertais- ja vapaaehtoistoiminnan avulla (Osis) (276 000 €) | Ak 10000: Huumeita käyttävien, erityisesti asunnottomien tai asunnottomuusuhan alaisten ihmisten asunnottomuuden vähentämiseen ja osallisuuden lisäämiseen matalan kynnyksen tuella ja kohtaamispaikkatoiminnalla Tampereen seudulla (Völjy) (244 125 €) | Ak 1257: Vanhempiensa alkoholinkäytöstä merkittäviä haittoja kokevien nuorten ja aikuisten hyvinvoinnin edistämiseen verkossa ja kasvokkain tapahtuvalla toiminnalla (Lasinen lapsuus) (194 250 €) | Ak 5706: Päihde-, mielenterveys- ja rikosseuraamusjärjestöjen perustehtävää tukevan ja kohderyhmien hyvinvoinnin edistämistä palvelevan uuden tutkimustiedon tuottamiseen järjestöjen toiminnasta ja järjestötoimintaan osallistuvien tilanteesta sekä tutkimusyhteistyön kehittämiseen (2026) (189 000 €) | Ak 12261: Monikielisten päihteillä oireilevien nuorten tukemiseen ja palveluihin ohjaamiseen jalkautuvalla työllä (115 000 €) | Ak 9776: Kuntodopingaineiden käytöstä aiheutuvien terveyshaittojen ehkäisyyn ja vähentämiseen terveysneuvonnan, tiedontuotannon ja ammattilaisten kouluttamisen avulla (Dopinglinkki) (80 000 €) | Ak 14: Järjestölähtöisen päihdetyön asiakaslähtöisyyden ja palvelupolkujen sujuvuuden parantamiseen sekä päihdetyössä tarvittavan tiedon saannin edistämiseen (67 333 €)</t>
        </is>
      </c>
    </row>
    <row r="8">
      <c r="A8" s="2">
        <v>7</v>
      </c>
      <c r="B8" s="2">
        <v>1192</v>
      </c>
      <c r="C8" t="inlineStr" s="0">
        <is>
          <t>SOSTE SUOMEN SOSIAALI JA TERVEYS RY</t>
        </is>
      </c>
      <c r="D8" s="2">
        <v>2806569.0</v>
      </c>
      <c r="E8" s="2">
        <v>1623702.0</v>
      </c>
      <c r="F8" s="2">
        <v>1182867.0</v>
      </c>
      <c r="G8" s="2">
        <v>57.9</v>
      </c>
      <c r="H8" s="2">
        <v>2</v>
      </c>
      <c r="I8" t="inlineStr" s="0">
        <is>
          <t>Ak 13: Sosiaali- ja terveysjärjestöjen asiantuntemuksen ja näkökulmien välilliseen hyödyntämiseen osana palvelujärjestelmän kehittämistä ja päätöksentekoa. Järjestötoiminnan toimintaedellytysten vahvistamiseen ja haavoittuvassa asemassa olevan väestönosan äänen esille tuomiseen julkisessa keskustelussa. (1 623 702 €) | Ay 1: Yleisavustuksena avustuksen saajan yleishyödylliseen toimintaan (1 182 867 €)</t>
        </is>
      </c>
    </row>
    <row r="9">
      <c r="A9" s="2">
        <v>8</v>
      </c>
      <c r="B9" s="2">
        <v>730</v>
      </c>
      <c r="C9" t="inlineStr" s="0">
        <is>
          <t>Loma ja Terveys ry</t>
        </is>
      </c>
      <c r="D9" s="2">
        <v>2684710.0</v>
      </c>
      <c r="E9" s="2">
        <v>2684710.0</v>
      </c>
      <c r="F9" s="2">
        <v>0.0</v>
      </c>
      <c r="G9" s="2">
        <v>100.0</v>
      </c>
      <c r="H9" s="2">
        <v>3</v>
      </c>
      <c r="I9" t="inlineStr" s="0">
        <is>
          <t>Ak 1: Sosiaaliseen lomatoimintaan vähävaraisille ja erityisen tuen tarpeessa oleville  - lapsiperheille - omaishoitajille - erityisryhmille - työikäisille  - ikääntyneille (2 437 710 €) | Ak 8: Vapaaehtoispohjaisen tukihenkilöverkoston toimintaan ja koordinointiin haja-asutusalueilla asuville ihmisille (163 000 €) | Ak 9: Sosiaalisen lomatoiminnan asiakasrekisterin ylläpitoon ja kehittämiseen (84 000 €)</t>
        </is>
      </c>
    </row>
    <row r="10">
      <c r="A10" s="2">
        <v>9</v>
      </c>
      <c r="B10" s="2">
        <v>1143</v>
      </c>
      <c r="C10" t="inlineStr" s="0">
        <is>
          <t>Sininauhasäätiö sr</t>
        </is>
      </c>
      <c r="D10" s="2">
        <v>2604324.0</v>
      </c>
      <c r="E10" s="2">
        <v>1993037.0</v>
      </c>
      <c r="F10" s="2">
        <v>611287.0</v>
      </c>
      <c r="G10" s="2">
        <v>76.5</v>
      </c>
      <c r="H10" s="2">
        <v>8</v>
      </c>
      <c r="I10" t="inlineStr" s="0">
        <is>
          <t>Ak 10414: Alle 29-vuotiaille asunnottomille sekä aktiivisesti päihteitä käyttäville nuorille suunnatun kynnyksettömän, ympärivuorokautisen kohtaamis- ja tukipisteen toimintaan (Nuoli) (840 000 €) | C 13682: Nuorten huumekuolemien ehkäisyyn vertaistoimintaa, riskitietoisuuden vahvistamista ja käytännön ensiapuosaamista lisäämällä (ODE 2.0 Pelasta kaveri – toivoa, tietoa ja toimintaa 2026–2028) (Nuorten huumekuolemien ehkäisyn ohjelma) (417 125 €) | Ak 1: Osallisuutta ja hyvinvointia vahvistavaan kynnyksettömään päiväkeskustoimintaan erityisesti pitkäaikaisasunnottomille, asunnottomuusuhan alla oleville sekä henkilöille, joilla on päihde- ja mielenterveysongelmia (Helsinki ja Tuusula) (365 120 €) | Ak 4: Pitkäaikaisasunnottomien ja vaikeasti asutettavien ihmisten integroimiseen normaaliin asuntokantaan asumispolun eri vaiheissa annettavalla yksilöllisellä ja ryhmämuotoisella tuella sekä asumisvalmiuksien ja -taitojen parantamiseen (309 270 €) | Ak 7099: Maahan vasta muuttaneiden ja erityistä tukea tarvitsevien maahanmuuttajataustaisten asunnottomuuden ennaltaehkäisemiseen ja voimavarojen tukemiseen kaikille avoimen ja koteihin vietävän asumisohjauksen, asunnon etsinnän ja vapaaehtoistyön keinoin (KOTA-toiminta) (231 879 €) | Ay 3069: Yleisavustuksena avustuksen saajan yleishyödylliseen toimintaan (194 162 €) | Ak 2: Asunnottomuutta kokeneiden asumisen laadun asukaslähtöiseen kehittämiseen, heidän äänensä ja näkökulmiensa keräämiseen ja tuomiseen yhteiskunnalliseen keskusteluun sekä asunnottomuuden ja asunnottomuusstigman vastaiseen työhön (Koti kaikille) (138 721 €) | Ak 7092: Vapaaehtoistoiminnan koordinointiin sekä uusien vapaaehtoistyöntekijöiden rekrytointiin ja toiminnanohjaukseen (108 047 €)</t>
        </is>
      </c>
    </row>
    <row r="11">
      <c r="A11" s="2">
        <v>10</v>
      </c>
      <c r="B11" s="2">
        <v>191</v>
      </c>
      <c r="C11" t="inlineStr" s="0">
        <is>
          <t>Kehitysvammaisten Tukiliitto ry</t>
        </is>
      </c>
      <c r="D11" s="2">
        <v>2591003.0</v>
      </c>
      <c r="E11" s="2">
        <v>1715788.0</v>
      </c>
      <c r="F11" s="2">
        <v>875215.0</v>
      </c>
      <c r="G11" s="2">
        <v>66.2</v>
      </c>
      <c r="H11" s="2">
        <v>9</v>
      </c>
      <c r="I11" t="inlineStr" s="0">
        <is>
          <t>Ay 1: Yleisavustuksena avustuksen saajan yleishyödylliseen toimintaan (875 215 €) | Ak 9: Vaikeavammaisten ja heidän läheistensä osallistumisen edistämiseen toimintavälineiden, tapahtuma-, kurssi- ja koulutustoiminnan avulla sekä alan ammattilaisten osaamisen lisäämiseen vaikuttamistyöllä  (Malike-toiminta) (520 500 €) | Ak 6480: Harvinaista ja perinnöllistä sairautta sairastavien, heidän läheistensä ja heidän kanssaan työskentelevien ammattilaisten tiedon ja tuen tarpeeseen vastaamiseen tiedon, seminaarien, vertais- ja keskustelutuen sekä neuvonnan avulla (444 538 €) | Ak 15: Kehitysvammaisten ihmisten ja heidän perheidensä itsemääräämisoikeuden, tuetun päätöksenteon ja osallisuuden edistämiseen oikeuksienvalvonnalla, lakineuvonnalla ja palvelujärjestelmän ja lainsäädännön sisältöihin vaikuttamalla (201 000 €) | Ak 4: Kehitysvammaisten nuorten ja aikuisten toimijuuden tukemiseen koulutusten,  kokemustoiminnan ja ryhmätoiminnan avulla. Kehitysvammaisten lasten vanhempien ja muiden läheisten tiedon, osaamisen ja vanhemmuuden vahvistamiseen verkkotilaisuuksien, ammatillisesti ohjatun ryhmätoiminnan ja verkostotyön kautta. (Saavutettava koulutus- ja kokemustoiminta) (195 000 €) | Ak 6482: INCL-perheiden ja vastaavien harvinaisten, etenevien, varhaiseen kuolemaan johtavien diagnoosiryhmien perheiden kokonaisvaltaiseen tukeen erityisperhetyön, vertaistuen, tiedon ja konsultoinnin avulla (134 800 €) | Ak 6483: Harvinaista, perimästä johtuvaa sairautta sairastavien lasten ja nuorten sekä perheidensä arjessa pärjäämisen ja osallisuuden vahvistamiseen sekä muuttuneen elämäntilanteen prosessointiin ryhmämuotoisella kurssitoiminnalla. (103 650 €) | Ak 16: Jäsenjärjestöille kohdistettaviin avustuksiin (70 000 €) | Ak 17: Kehitysvammaisten ja vammattomien nuorten ja aikuisten yhdenvertaisen kohtaamisen edistämiseen vapaaehtoistoiminnan keinoin. Kehitysvammaisten nuorten ja aikuisten toimijuuden ja osallisuuden vahvistamiseen vapaaehtoistoiminnan keinoin.  (Yhdenvertainen kaveritoiminta ja vapaaehtoistoiminta 2025-2026) (46 300 €)</t>
        </is>
      </c>
    </row>
    <row r="12">
      <c r="A12" s="2">
        <v>11</v>
      </c>
      <c r="B12" s="2">
        <v>177</v>
      </c>
      <c r="C12" t="inlineStr" s="0">
        <is>
          <t>KEHITYSVAMMALIITTO RY</t>
        </is>
      </c>
      <c r="D12" s="2">
        <v>2421281.0</v>
      </c>
      <c r="E12" s="2">
        <v>1248923.0</v>
      </c>
      <c r="F12" s="2">
        <v>1172358.0</v>
      </c>
      <c r="G12" s="2">
        <v>51.6</v>
      </c>
      <c r="H12" s="2">
        <v>5</v>
      </c>
      <c r="I12" t="inlineStr" s="0">
        <is>
          <t>Ay 1: Yleisavustuksena avustuksen saajan yleishyödylliseen toimintaan (1 172 358 €) | Ak 4: Puhevammaisten ihmisten osallisuuden, itsemääräämisoikeuden ja vuorovaikutusmahdollisuuksien edistämiseen ohjaus- ja toimintamallien, materiaalien, neuvonnan, vertaistuen ja vaikuttamistyön avulla (Tikoteekki) (420 000 €) | Ak 6: Puhevammaisten sekä ymmärtämisessä ja kommunikoinnissa tukea tarvitsevien ihmisten vuorovaikutuksen ja osallistumisen tukemiseen helppokäyttöisten, saavutettavien materiaalien ja sovellusten avulla - Läheisten ja alan ammattilaisten osaamisen lisäämiseen - Toimia tiedon levittämisen ja materiaalin jakamisen kanavana alan järjestöille ja muille toimijoille - Verkkopalvelujen saavutettavuuden edistämiseen (Papunet-verkkopalvelut) (374 850 €) | Ak 3: Selkokieltä tarvitsevien ihmisten tukemiseen selkokielisen tiedonvälityksen, ajankohtaistiedon, neuvonnan ja koulutusten avulla  - Selkoaineistojen kehittämiseen ja laadun varmistamiseen - Selkokielen näkyvyyden lisäämiseen  (Selkokeskus) (367 133 €) | Ak 10: Vertaistoiminnan ja neuvonnan tarjoamiseen ihmisille, joilla on raskaudenaikaisesta alkoholinaltistuksesta aiheutuneita kehityshäiriöitä (FASD) - Sijais- ja adoptiovanhempien arjessa selviytymisen tukemiseen - Ammattilaisten osaamisen lisäämiseen ja FASD-tietoisuuden lisäämiseen (86 940 €)</t>
        </is>
      </c>
    </row>
    <row r="13">
      <c r="A13" s="2">
        <v>12</v>
      </c>
      <c r="B13" s="2">
        <v>993</v>
      </c>
      <c r="C13" t="inlineStr" s="0">
        <is>
          <t>Pelastakaa Lapset ry</t>
        </is>
      </c>
      <c r="D13" s="2">
        <v>2366637.0</v>
      </c>
      <c r="E13" s="2">
        <v>1608896.0</v>
      </c>
      <c r="F13" s="2">
        <v>757741.0</v>
      </c>
      <c r="G13" s="2">
        <v>68.0</v>
      </c>
      <c r="H13" s="2">
        <v>7</v>
      </c>
      <c r="I13" t="inlineStr" s="0">
        <is>
          <t>Ay 1: Yleisavustuksena avustuksen saajan yleishyödylliseen toimintaan (757 741 €) | Ak 7: Lasten ja lapsiperheiden varhaiseen tukemiseen vapaaehtoisten tukihenkilöiden ja sporttikummien avulla (601 320 €) | Ak 2: Lapsen ja perheen hyvinvoinnin ja voimavarojen vahvistamiseen lisäämällä lapsen tukiverkostoa loma- tai kummikotitoiminnan avulla (Varhaisen tuen loma- ja kummikotitoiminta) (340 069 €) | Ak 2961: Lasten ja lapsiperheiden hyvinvoinnin ja osallisuuden vahvistamiseen matalan kynnyksen verkosto- ja yhteisötalotoiminnan avulla (Joensuun Perheentalo) (228 957 €) | Ak 6013: Lasten ja lapsiperheiden hyvinvoinnin ja osallisuuden vahvistamiseen matalan kynnyksen verkosto- ja yhteisötalon toiminnalla (Kuopion Perheentalo) (222 705 €) | Ak 8: Lasten aseman ja oikeuksien turvaamiseen ja edistämiseen erityisesti digitaalisessa mediassa (Nettivihjetoiminta) (117 845 €) | Ak 6: Suomalaisten adoptiohakijoiden, adoptiovanhempien ja adoptoitujen tukemiseen tiedotuksen ja ohjauksen keinoin adoptioprosessin eri vaiheissa (kansainvälinen adoptiopalvelu) (98 000 €)</t>
        </is>
      </c>
    </row>
    <row r="14">
      <c r="A14" s="2">
        <v>13</v>
      </c>
      <c r="B14" s="2">
        <v>859</v>
      </c>
      <c r="C14" t="inlineStr" s="0">
        <is>
          <t>MANNERHEIMIN LASTENSUOJELULIITTO RY</t>
        </is>
      </c>
      <c r="D14" s="2">
        <v>2253911.0</v>
      </c>
      <c r="E14" s="2">
        <v>2013911.0</v>
      </c>
      <c r="F14" s="2">
        <v>240000.0</v>
      </c>
      <c r="G14" s="2">
        <v>89.4</v>
      </c>
      <c r="H14" s="2">
        <v>8</v>
      </c>
      <c r="I14" t="inlineStr" s="0">
        <is>
          <t>Ak 6: MLL:n paikallisen vapaaehtoisen lapsi- ja perhetoiminnan ja sen toimintaedellytyksien ohjaukseen sekä valtakunnalliseen perhekeskusyhteistyöhön (669 834 €) | Ak 5: Aikuisen tuen tarjoamiseen vuoden jokaisena päivänä alle 25-vuotiaille lapsille ja nuorille puhelin-, netti- ja chat-palvelun keinoin (Lasten ja nuorten puhelin, netti ja chat) (540 280 €) | Ak 8: Oppilaiden osallisuutta edistävään vapaaehtoistoimintaan kouluissa (Tukioppilas-,  kummioppilas- ja tutortoiminta sekä Koulurauha-ohjelma) (341 713 €) | Ay 1: Yleisavustuksena avustuksen saajan yleishyödylliseen toimintaan (240 000 €) | Ak 10: Vanhemmille suunnatun matalan kynnyksen, anonyymin ja luottamuksellisen tuen ja avun tarjoamiseen vanhempainpuhelin- ja nettipalvelutoiminnan keinoin (231 339 €) | Ak 13: Lasten ja lapsiperheiden hyvinvoinnin edistämiseen ja tasavertaisen vanhemmuuden vahvistamiseen kehittämällä mentalisaatioperusteista vanhempainryhmätoimintaa ja Jututtamo-vertaisryhmätoimintaa sekä kouluttamalla vapaaehtoisia ja ammattilaisia ryhmien ohjaajiksi (Mentalisaatioperustainen vanhempainryhmätoiminta) (144 217 €) | Ak 11254: Eri-ikäisten lasten ja aikuisten kohtaamisen ja osallisuuden lisäämiseen leikkitoiminnan avulla (Leikkipäivä-ohjelma). (58 965 €) | Ak 7: Valtakunnallisen äitienpäiväjuhlan järjestämiseen (27 563 €)</t>
        </is>
      </c>
    </row>
    <row r="15">
      <c r="A15" s="2">
        <v>14</v>
      </c>
      <c r="B15" s="2">
        <v>1190</v>
      </c>
      <c r="C15" t="inlineStr" s="0">
        <is>
          <t>Sininauhaliitto r.y.</t>
        </is>
      </c>
      <c r="D15" s="2">
        <v>2160261.0</v>
      </c>
      <c r="E15" s="2">
        <v>1339474.0</v>
      </c>
      <c r="F15" s="2">
        <v>820787.0</v>
      </c>
      <c r="G15" s="2">
        <v>62.0</v>
      </c>
      <c r="H15" s="2">
        <v>8</v>
      </c>
      <c r="I15" t="inlineStr" s="0">
        <is>
          <t>Ay 1: Yleisavustuksena avustuksen saajan yleishyödylliseen toimintaan (820 787 €) | Ak 15: Matalan kynnyksen tuki- ja neuvontapalveluiden ja vertaistukitoiminnan ylläpitämiseen rahapelihaittoja kokeville pelaajille, heidän läheisilleen ja pelihaittoja työssään kohtaaville ammattilaisille (Tiltti) (368 434 €) | Ak 16: Jäsenjärjestöjen osaamisen, toimintaedellytysten ja kansalaistoiminnan vahvistamiseen koulutuksella, asiantuntijatuella, verkostoyhteistyöllä sekä kehittämällä vapaaehtois- ja vertaistoimintaa (315 000 €) | Ak 2586: Hyvinvointia edistävän Green Care -toiminnan lisäämiseen ja kehittämiseen sosiaali- ja terveysjärjestöissä (Vihreä veräjä) (187 431 €) | Ak 11142: Pelihaittojen vähentämiseen ongelmallisesti mobiili-, konsoli- ja tietokonepelejä pelaaville suunnatun Restart-ohjelman avulla (2026) (172 200 €) | Ak 17: Haitallisesti päihteitä käyttävien läheisten voimavarojen vahvistamiseen sekä yhteiskunnallisen aseman ja palvelujen saatavuuden parantamiseen tiedon tuottamisen, ammattilaisille suunnatun kouluttamisen sekä toimintamallien kehittämisen ja levittämisen avulla (166 609 €) | Ak 11009: Ikääntyneiden päihteidenkäyttäjien osallisuuden lisäämiseen, päihdehaittojen vähentämiseen ja arjenhallinnan vahvistamiseen tähtäävän Pilke-ryhmätoiminnan levittämiseen ja juurruttamiseen kouluttajakoulutusten ja tukimateriaalituotannon avulla (79 800 €) | Ak 14: Jäsenjärjestöille kohdistettaviin avustuksiin (50 000 €)</t>
        </is>
      </c>
    </row>
    <row r="16">
      <c r="A16" s="2">
        <v>15</v>
      </c>
      <c r="B16" s="2">
        <v>203</v>
      </c>
      <c r="C16" t="inlineStr" s="0">
        <is>
          <t>HYVINVOINTILOMAT RY</t>
        </is>
      </c>
      <c r="D16" s="2">
        <v>2103947.0</v>
      </c>
      <c r="E16" s="2">
        <v>2103947.0</v>
      </c>
      <c r="F16" s="2">
        <v>0.0</v>
      </c>
      <c r="G16" s="2">
        <v>100.0</v>
      </c>
      <c r="H16" s="2">
        <v>1</v>
      </c>
      <c r="I16" t="inlineStr" s="0">
        <is>
          <t>Ak 1: Sosiaaliseen lomatoimintaan vähävaraisille ja erityisen tuen tarpeessa oleville lapsiperheille, erityisryhmille ja aikuisväestölle. (2 103 947 €)</t>
        </is>
      </c>
    </row>
    <row r="17">
      <c r="A17" s="2">
        <v>16</v>
      </c>
      <c r="B17" s="2">
        <v>465</v>
      </c>
      <c r="C17" t="inlineStr" s="0">
        <is>
          <t>Kuurojen Liitto ry, Finlands Dövas Förbund rf</t>
        </is>
      </c>
      <c r="D17" s="2">
        <v>2091280.0</v>
      </c>
      <c r="E17" s="2">
        <v>1288030.0</v>
      </c>
      <c r="F17" s="2">
        <v>803250.0</v>
      </c>
      <c r="G17" s="2">
        <v>61.6</v>
      </c>
      <c r="H17" s="2">
        <v>6</v>
      </c>
      <c r="I17" t="inlineStr" s="0">
        <is>
          <t>Ay 1: Yleisavustuksena avustuksen saajan yleishyödylliseen toimintaan (803 250 €) | Ak 6: Viittomakielisten kuurojen arjessa selviytymisen,  tiedonsaannin, osallisuuden ja kieli-identiteetin tukemiseen lähi- ja etämuotoisen palveluohjauksen, digitaitojen vahvistamisen ja alueellisen asiantuntijatyön keinoin - Vapaaehtois- ja vertaistyön koordinointiin (kaveritoiminta) - Jäsenyhdistysten tukemiseen (629 280 €) | Ak 14: Viittomakielisten kuurojen tiedonsaannin tukemiseen, liiton ulkoiseen ja sisäiseen viestintään, jäsenyhdistysviestintään sekä kohdennettuun viittomakieliseen viestintään (332 000 €) | Ak 15: Viittomakielisten aikuisten, lasten ja nuorten sekä heidän läheistensä voimavarojen, toimintakyvyn ja osallisuuden tukemiseen vertaistukikurssitoiminnan avulla (194 250 €) | Ak 9: Viittomakieliä käyttävien sekä niitä opiskelevien kommunikoinnin vahvistamiseen ja tukemiseen avoimen verkkosanakirjapalvelun avulla (102 500 €) | Ak 4080: Jäsenjärjestöille kohdistettaviin avustuksiin (30 000 €)</t>
        </is>
      </c>
    </row>
    <row r="18">
      <c r="A18" s="2">
        <v>17</v>
      </c>
      <c r="B18" s="2">
        <v>125</v>
      </c>
      <c r="C18" t="inlineStr" s="0">
        <is>
          <t>Setlementti Tampere ry</t>
        </is>
      </c>
      <c r="D18" s="2">
        <v>2043637.0</v>
      </c>
      <c r="E18" s="2">
        <v>1550611.0</v>
      </c>
      <c r="F18" s="2">
        <v>493026.0</v>
      </c>
      <c r="G18" s="2">
        <v>75.9</v>
      </c>
      <c r="H18" s="2">
        <v>10</v>
      </c>
      <c r="I18" t="inlineStr" s="0">
        <is>
          <t>Ay 1461: Yleisavustuksena avustuksen saajan yleishyödylliseen toimintaan (493 026 €) | Ak 4293: Perheväkivallan, seksuaalisen väkivallan ja kunniaan liittyvän väkivallan ennaltaehkäisyyn, väkivaltaa kokeneiden ja tehneiden tukemiseen yksilö- ja ryhmämuotoisen tuen keinoin sekä väkivaltatyön osaamisen levittämiseen (Väkivaltatyön yksikkö) (452 528 €) | Ak 6: Sosiaalisesti heikoimmassa asemassa olevien, maahanmuuttajataustaisen, seksuaalista väkivaltaa kohdanneiden ja muiden erityisen tuen tarpeessa olevien tyttöjen ja naisten matalankynnyksen toimintaan sekä ryhmä- ja yksilötukeen (Tampereen Tyttöjen Talo) (176 140 €) | Ak 1166: Kansalaistoimintalähtöisen etnisesti monimuotoisen miestyön toteuttamiseen kohderyhmän osallisuuden ja hyvinvoinnin tukemiseksi (Miesten kansalaistalo Mattila) (148 500 €) | Ak 2445: Yksinäisyyden kokemusta vähentävään kansalaistoimintaan, vertaistukityöhön ja loma-ajan päiväleiritoimintaan erityistä tukea tarvitseville kehitysvammaisille nuorille, nuorille aikuisille ja heidän läheisilleen (Voimavirta) (141 095 €) | Ak 2442: Ryhmä- ja yksilömuotoiseen  sekä avoimeen tukitoimintaan neuropsykiatrisia piirteitä omaaville aikuisille (Omavoima) (140 915 €) | Ak 4: Maahanmuuttajanaisten ja heidän perheidensä kotoutumisen tukemiseen, osallisuuden lisäämiseen sekä syrjäytymisen ehkäisyyn avoimen toiminnan, ryhmien sekä yksilöneuvonnan ja -tuen keinoin (Kansainvälinen naisten tapaamispaikka Naistari) (140 026 €) | Ak 10993: Lapsen taholta väkivaltaa kokeneiden vanhempien, perheyhteisöjen, väkivaltaiseen käytökseen taipuvaisten lasten ja ilmiön eri osapuolia työssään kohtaavien ammattilaisten tukemiseen Pirkanmaalla (126 087 €) | Ak 13626: Työttömien omaehtoisen terveyden ja elämänhallinnan edistämiseen kohderyhmän voimavaroja tukevien vertaisryhmien, valmentavien yksilökeskusteluiden sekä terveysmittauspisteen avulla Tampereen seudulla (126 000 €) | Ak 9885: Kiusaamista kokeneiden ja heidän läheistensä selviytymistä ja toipumista edistävään yksilöllisen tukeen ja vertaisryhmätoimintaan sekä ammattilaisten osaamisen kehittämiseen kiusaamisteemasta (99 320 €)</t>
        </is>
      </c>
    </row>
    <row r="19">
      <c r="A19" s="2">
        <v>18</v>
      </c>
      <c r="B19" s="2">
        <v>498</v>
      </c>
      <c r="C19" t="inlineStr" s="0">
        <is>
          <t>NUORTEN YSTÄVÄT RY</t>
        </is>
      </c>
      <c r="D19" s="2">
        <v>2004448.0</v>
      </c>
      <c r="E19" s="2">
        <v>1197571.0</v>
      </c>
      <c r="F19" s="2">
        <v>806877.0</v>
      </c>
      <c r="G19" s="2">
        <v>59.7</v>
      </c>
      <c r="H19" s="2">
        <v>7</v>
      </c>
      <c r="I19" t="inlineStr" s="0">
        <is>
          <t>Ak 3020: Mielenterveyskuntoutujien terveyttä, hyvinvointia, osallisuutta sekä työ- ja opiskeluelämään palaamista edistävään kohtaamispaikkatoimintaan Kajaanin, Oulun ja Rovaniemen alueella sekä eKlubitalotoimintaan  (Klubitalo Pönkkä, Klubitalo Tönäri ja Klubitalo Roihula) (538 893 €) | C 13807: Nuorten huumekuolemien ehkäisyyn kohtaavalla työllä, koulutuksella ja kehittämistoiminnalla (Sauma - tukea, turvallisuutta ja yhteistyötä nuorten huumekuolemien ehkäisemiseksi 2026-2028) (Nuorten huumekuolemien ehkäisyn ohjelma) (417 125 €) | Ak 1279: Vanhemmuuden tukemiseen, lapsiperheiden hyvinvoinnin vahvistamiseen ja koululaisten luvattomien poissaolojen sekä koulupudokkuuden ehkäisemiseen (Vanhempien Akatemia) (359 668 €) | Ay 2: Yleisavustuksena avustuksen saajan yleishyödylliseen toimintaan (294 814 €) | Ak 10018: Huumeiden käyttäjien ja heidän läheistensä matalan kynnyksen vertaistoimintaan sekä osallisuuden ja toimintakyvyn tukemiseen Oulun alueella  (VERTO) (289 010 €) | C 13717: Euroopan sosiaalirahasto plussan (ESR+) hankkeen "Vapaaksi" (Dnro: EURA 2021/209866/09) osarahoitukseen järjestölle (2026-2028) (94 938 €) | Ak 11057: Paikka auki - avustusohjelman koordinointiin (10 000 €)</t>
        </is>
      </c>
    </row>
    <row r="20">
      <c r="A20" s="2">
        <v>19</v>
      </c>
      <c r="B20" s="2">
        <v>347</v>
      </c>
      <c r="C20" t="inlineStr" s="0">
        <is>
          <t>Kuuloliitto ry, Finska Hörselförbundet rf</t>
        </is>
      </c>
      <c r="D20" s="2">
        <v>1969628.0</v>
      </c>
      <c r="E20" s="2">
        <v>915450.0</v>
      </c>
      <c r="F20" s="2">
        <v>1054178.0</v>
      </c>
      <c r="G20" s="2">
        <v>46.5</v>
      </c>
      <c r="H20" s="2">
        <v>5</v>
      </c>
      <c r="I20" t="inlineStr" s="0">
        <is>
          <t>Ay 1: Yleisavustuksena avustuksen saajan yleishyödylliseen toimintaan (1 054 178 €) | Ak 6: Kuulovammaisten, erityisesti ikääntyneiden huonokuuloisten toimintakyvyn tukemiseen sekä kuuloyhdistysten ja vapaaehtoisten yhdistystoiminnan osaamisen ja voimavarojen vahvistamiseen kuulotilaisuuksien, koulutusten, kuuloautotapahtumien, digituen, henkilökohtaisen neuvonnan ja alueellisen vaikuttamistyön keinoin (470 450 €) | Ak 9: Ryhmämuotoiseen vertaistukipainotteiseen kuulokurssitoimintaan ikääntyneille huonokuuloisille, tinnituksesta kärsiville, työikäisille kuulovammaisille ja heidän läheisilleen sekä kuulovammaisten lasten ja nuorten leiri- ja vertaistoimintaan (235 000 €) | Ak 12413: Työikäisten ja ikääntyneiden huonon kuulon, muistin, kognition ja mielen hyvinvoinnin yhteyksien tunnistamiseen, tunnistamistyökalujen kehittämiseen, koulutuksiin ja tapahtumiin, ryhmämuotoiseen tukeen sekä eri toimijoiden väliseen yhteistyöhön (Kuule, muista ja voi hyvin -toiminta) (160 000 €) | Ak 23: Jäsenjärjestöille kohdistettaviin avustuksiin (50 000 €)</t>
        </is>
      </c>
    </row>
    <row r="21">
      <c r="A21" s="2">
        <v>20</v>
      </c>
      <c r="B21" s="2">
        <v>693</v>
      </c>
      <c r="C21" t="inlineStr" s="0">
        <is>
          <t>VÄESTÖLIITTO RY</t>
        </is>
      </c>
      <c r="D21" s="2">
        <v>1920435.0</v>
      </c>
      <c r="E21" s="2">
        <v>1170435.0</v>
      </c>
      <c r="F21" s="2">
        <v>750000.0</v>
      </c>
      <c r="G21" s="2">
        <v>60.9</v>
      </c>
      <c r="H21" s="2">
        <v>6</v>
      </c>
      <c r="I21" t="inlineStr" s="0">
        <is>
          <t>Ay 1: Yleisavustuksena avustuksen saajan yleishyödylliseen toimintaan (750 000 €) | Ak 13624: Parisuhteen ja perheen hyvinvointia vahvistavaan ja parisuhdeongelmia ennaltaehkäisevään työhön koulutuksen, viestinnän, neuvonnan ja muun toiminnan keinoin. Erityiskohderyhmänä parit, joiden perheessä on sairautta, mielenterveyshaasteita ja vaikeita kriisitilanteita. (337 300 €) | Ak 5: Intiimeissä ihmissuhteissa huolta kokevien nuorten ja nuorten aikuisten seksuaalisen hyvinvoinnin tukemiseen verkkopalveluiden ja tiedontuotannon keinoin (250 000 €) | Ak 6: Vanhemmuuden vahvistamiseen verkkopalveluiden, tiedontuotannon ja mediatyön keinoin. Toiminta kohdistetaan etenkin kuormittuneille vanhemmille. (250 000 €) | Ak 5685: Pojille ja nuorille miehille kohdistetun matalan kynnyksen ennaltaehkäisevän puhelin- ja verkkopalvelun ylläpitoon ja kehittämiseen (Poikien Puhelin) (240 000 €) | Ak 5695: Maahanmuuttajien, erityisesti naismaahanmuuttajien työllistymisen edistämiseen mentoroinnilla ja verkostotyöllä (93 135 €)</t>
        </is>
      </c>
    </row>
    <row r="22">
      <c r="A22" s="2">
        <v>21</v>
      </c>
      <c r="B22" s="2">
        <v>371</v>
      </c>
      <c r="C22" t="inlineStr" s="0">
        <is>
          <t>Etelä-Suomen Klubitalot ESKOT ry</t>
        </is>
      </c>
      <c r="D22" s="2">
        <v>1876227.0</v>
      </c>
      <c r="E22" s="2">
        <v>1578817.0</v>
      </c>
      <c r="F22" s="2">
        <v>297410.0</v>
      </c>
      <c r="G22" s="2">
        <v>84.1</v>
      </c>
      <c r="H22" s="2">
        <v>8</v>
      </c>
      <c r="I22" t="inlineStr" s="0">
        <is>
          <t>Ak 1: Mielenterveyskuntoutujien terveyttä, hyvinvointia, osallisuutta sekä työ- ja opiskeluelämään palaamista edistävään kohtaamispaikkatoimintaan  (Helsingin Klubitalo) (395 687 €) | Ay 3087: Yleisavustuksena avustuksen saajan yleishyödylliseen toimintaan (297 410 €) | Ak 2504: Mielenterveyskuntoutujien terveyttä, hyvinvointia, osallisuutta sekä työ- ja opiskeluelämään palaamista edistävään kohtaamispaikkatoimintaan (Tikkurilan Klubitalo) sekä järjestölähtöisen kokemusasiantuntijatoiminnan koordinointiin Vantaan ja Keravan hyvinvointialueella. (265 142 €) | Ak 7829: Mielenterveyskuntoutujien terveyttä, hyvinvointia, osallisuutta sekä työ- ja opiskeluelämään palaamista edistävään kohtaamispaikkatoimintaan (Tuusulanjärven Klubitalo) (203 962 €) | Ak 2: Mielenterveyskuntoutujien terveyttä, hyvinvointia, osallisuutta sekä työ- ja opiskeluelämään palaamista edistävään kohtaamispaikkatoimintaan (Itä-Helsingin Klubitalo) (185 220 €) | Ak 2519: Mielenterveyskuntoutujien terveyttä, hyvinvointia, osallisuutta sekä työ- ja opiskeluelämään palaamista edistävään kohtaamispaikkatoimintaan (Imatran Klubitalo) (179 707 €) | Ak 7052: Mielenterveyskuntoutujien terveyttä, hyvinvointia, osallisuutta sekä työ- ja opiskeluelämään palaamista edistävään kohtaamispaikkatoimintaan (Nurmijärven Klubitalo) (175 297 €) | Ak 5457: Mielenterveyskuntoutujien terveyttä, hyvinvointia, osallisuutta sekä työ- ja opiskeluelämään palaamista edistävään kohtaamispaikkatoimintaan (Lahden klubitalo) (173 802 €)</t>
        </is>
      </c>
    </row>
    <row r="23">
      <c r="A23" s="2">
        <v>22</v>
      </c>
      <c r="B23" s="2">
        <v>1021</v>
      </c>
      <c r="C23" t="inlineStr" s="0">
        <is>
          <t>SOSIAALIPEDAGOGIIKAN SÄÄTIÖ</t>
        </is>
      </c>
      <c r="D23" s="2">
        <v>1856615.0</v>
      </c>
      <c r="E23" s="2">
        <v>1475315.0</v>
      </c>
      <c r="F23" s="2">
        <v>381300.0</v>
      </c>
      <c r="G23" s="2">
        <v>79.5</v>
      </c>
      <c r="H23" s="2">
        <v>4</v>
      </c>
      <c r="I23" t="inlineStr" s="0">
        <is>
          <t>Ak 3045: 18-35-vuotiaiden mielenterveyskuntoutujien osallisuuden tunteen ja motivaation kasvattamiseen sekä työ- ja toimintakyvyn edistämiseen järjestämällä vertaisuuteen perustuvaan kulttuuripajatoimintaan (837 940 €) | Ak 6: Ongelmallisesti rahapelejä pelaavien ja heidän läheistensä elämänlaadun parantamiseen vertaistuen keinoin (Pelirajaton) (472 000 €) | Ay 2: Yleisavustuksena avustuksen saajan yleishyödylliseen toimintaan (381 300 €) | Ak 7697: Nuorten aikuisten (18–29-vuotiaat) ongelmallisen digipelaamisen ja sosiaalisen median käytön vähentämiseen vertaistoiminnan, ryhmätoiminnan ja sähköisten työvälineiden avulla. Ymmärryksen ja ammatillisen osaamisen lisäämiseen digitaalisista riippuvuuksista koulutusten ja kokemusasiantuntijatyön avulla. (Digipelirajaton &amp; Somerajaton) (165 375 €)</t>
        </is>
      </c>
    </row>
    <row r="24">
      <c r="A24" s="2">
        <v>23</v>
      </c>
      <c r="B24" s="2">
        <v>738</v>
      </c>
      <c r="C24" t="inlineStr" s="0">
        <is>
          <t>Helsinkimissio ry</t>
        </is>
      </c>
      <c r="D24" s="2">
        <v>1819717.0</v>
      </c>
      <c r="E24" s="2">
        <v>1493317.0</v>
      </c>
      <c r="F24" s="2">
        <v>326400.0</v>
      </c>
      <c r="G24" s="2">
        <v>82.1</v>
      </c>
      <c r="H24" s="2">
        <v>6</v>
      </c>
      <c r="I24" t="inlineStr" s="0">
        <is>
          <t>Ak 11121: Ikääntyneiden yksinäisyyden kokemusten vähentämiseen, osallisuuden lisäämiseen ja voimavarojen vahvistamiseen keskusteluavun, ohjauksen, neuvonnan ja vapaaehtoistoiminnan avulla (HelsinkiMission Senioripysäkki) (454 930 €) | Ak 8: Kodin ulkopuoliseen väkivaltaan syyllistyneiden tai syyllistymisriskissä olevien väkivaltaisen käyttäytymisen vähentämiseen ja ehkäisemiseen yksilöllisen asiakastyön ja verkostotyön avulla sekä valtakunnallisen toiminnan koordinointiin (Aggredi) (354 387 €) | Ay 1706: Yleisavustuksena avustuksen saajan yleishyödylliseen toimintaan (326 400 €) | Ak 11119: Nuorten yksinäisyyden kokemusten vähentämiseen ja osallisuuden vahvistamiseen keskustelu- ja kriisiavun, vapaaehtoisen kaveritoiminnan sekä jalkautuvan yhteisötoiminnan keinoin (244 000 €) | Ak 11131: Lapsiperheiden yksinäisyyden kokemusten vähentämiseen, osallisuuden lisäämiseen ja voimavarojen vahvistamiseen keskusteluavun, ohjauksen, neuvonnan ja vapaaehtoistoiminnan avulla (HelsinkiMission Perhetoiminta) (225 000 €) | Ak 7504: Aikuisten yksinäisyyden tunteen vähentämiseen yksinäisyysohjelman, yksinäisyyden omahoito-ohjelman ja keskusteluavun keinoin (Yksinäisyystyön keskus) (215 000 €)</t>
        </is>
      </c>
    </row>
    <row r="25">
      <c r="A25" s="2">
        <v>24</v>
      </c>
      <c r="B25" s="2">
        <v>888</v>
      </c>
      <c r="C25" t="inlineStr" s="0">
        <is>
          <t>Loisto setlementti ry</t>
        </is>
      </c>
      <c r="D25" s="2">
        <v>1770989.0</v>
      </c>
      <c r="E25" s="2">
        <v>1414123.0</v>
      </c>
      <c r="F25" s="2">
        <v>356866.0</v>
      </c>
      <c r="G25" s="2">
        <v>79.8</v>
      </c>
      <c r="H25" s="2">
        <v>9</v>
      </c>
      <c r="I25" t="inlineStr" s="0">
        <is>
          <t>Ak 10858: Seksuaalisen häirinnän, väkivallan ja kiusaamisen vähentämiseen sosiaalisen median alustoilla sekä yksilöllisen tuen antamiseen kaltoinkohdelluille 8–21-vuotiaille lapsille ja nuorille digitaalisissa ympäristöissä  (Sua varten Somessa) (346 500 €) | Ak 4230: Kunniaan liittyvien konfliktien ja väkivallan ennaltaehkäisemiseen ryhmätoiminnan, yksilö- ja perhekohtaisen tuen sekä koulutuksen avulla sekä yksilölliseen ja yhteisölliseen tukeen kunniaan liittyvän väkivallan vuoksi taustayhteisöstään irtaantuville tai ulossuljetuille nuorille Helsingissä. (SOPU) (306 863 €) | Ay 1303: Yleisavustuksena avustuksen saajan yleishyödylliseen toimintaan (298 608 €) | Ak 6: Yksinäisten, kiusattujen ja syrjäytettyjen poikien tukemiseen, seksuaalista väkivaltaa kohdanneiden poikien auttamiseen sekä poikien seksuaaliterveystyöhön Helsingin Poikien talolla. (Poikien Talo) (175 691 €) | Ak 10647: 13–28-vuotiaiden nuorten yksilö- ja ryhmämuotoiseen seksuaaliväkivaltatyöhön Tyttöjen ja Poikien Talo -työn rinnalla Helsingissä, Espoossa ja Vantaalla.   (Tyttöjen ja Poikien Talojen seksuaaliväkivaltatyö) (162 554 €) | Ak 12389: Yksinäisten, kiusattujen, häirintää tai väkivaltaa kokeneiden, syrjäytettyjen ja sukupuolen moninaisuutta ja seksuaali-identiteettiään pohtivien poikien ja nuorten miesten tukemiseen (Vantaan poikien talo) (151 300 €) | Ak 1: Yksinäisten, masentuneiden, sosiaalisesti syrjäytyneiden, monikulttuuristen, psyykkisesti oireilevien ja muiden erityistä tukea tarvitsevien 10-28-vuotiaiden tyttöjen ja nuorten naisten matalan kynnyksen toimintaan sekä ryhmä- ja yksilötukeen  (Kumppanuustalo Tyttöjen Talo) (138 915 €) | Ak 5757: Ryhmä- ja yksilömuotoiseen kulttuurisensitiiviseen toimintaan espoolaisille 10-28 vuotiaille maahanmuuttajataustaisille tytöille ja nuorille naisille Espoossa (Sorella) (132 300 €) | C 13723: Euroopan sosiaalirahasto plussan (ESR+) hankkeen "SUSE - sukupuolisensitiivisyys nuorten palveluissa " osarahoitukseen järjestölle (2026-2028) (58 258 €)</t>
        </is>
      </c>
    </row>
    <row r="26">
      <c r="A26" s="2">
        <v>25</v>
      </c>
      <c r="B26" s="2">
        <v>33</v>
      </c>
      <c r="C26" t="inlineStr" s="0">
        <is>
          <t>INVALIDILIITTO RY</t>
        </is>
      </c>
      <c r="D26" s="2">
        <v>1738333.0</v>
      </c>
      <c r="E26" s="2">
        <v>703088.0</v>
      </c>
      <c r="F26" s="2">
        <v>1035245.0</v>
      </c>
      <c r="G26" s="2">
        <v>40.4</v>
      </c>
      <c r="H26" s="2">
        <v>4</v>
      </c>
      <c r="I26" t="inlineStr" s="0">
        <is>
          <t>Ay 1: Yleisavustuksena avustuksen saajan yleishyödylliseen toimintaan (1 035 245 €) | Ak 7: Fyysisesti toimintarajoitteisten henkilöiden ja heidän läheistensä voimavarojen vahvistamiseen ja arjen sujuvuuden parantamiseen teema, -pari- ja perhekurssien avulla (523 800 €) | Ak 9: Harvinaisiin tuki- ja liikuntaelinsairaus- ja vammaryhmiin kuuluvien henkilöiden ja heidän läheistensä hyvinvoinnin ja osallistumismahdollisuuksien edistämiseen vertaistuen, koulutusten, ohjauksen ja neuvonnan avulla (142 538 €) | Ak 17: Jäsenjärjestöille kohdistettaviin avustuksiin (36 750 €)</t>
        </is>
      </c>
    </row>
    <row r="27">
      <c r="A27" s="2">
        <v>26</v>
      </c>
      <c r="B27" s="2">
        <v>47</v>
      </c>
      <c r="C27" t="inlineStr" s="0">
        <is>
          <t>ENSI- JA TURVAKOTIEN LIITTO RY</t>
        </is>
      </c>
      <c r="D27" s="2">
        <v>1735644.0</v>
      </c>
      <c r="E27" s="2">
        <v>1074018.0</v>
      </c>
      <c r="F27" s="2">
        <v>661626.0</v>
      </c>
      <c r="G27" s="2">
        <v>61.9</v>
      </c>
      <c r="H27" s="2">
        <v>4</v>
      </c>
      <c r="I27" t="inlineStr" s="0">
        <is>
          <t>Ay 1: Yleisavustuksena avustuksen saajan yleishyödylliseen toimintaan (661 626 €) | Ak 13: Jäsenyhdistyksissä toteutettavien vaativan vauvatyön työmuotojen (Vauvaperheryhmä, Vauvaperheohjaus, vapaaehtoisdoulatoiminta ja vauvaperheiden kohtaamispaikkatoiminta) kehittämis- ja koordinointitoimintaan sekä vaikuttamistyöhön. Vauvaperheille suunnatun verkkoauttamistoiminnan (vauvaperhe chat ja vauvaperhe.fi -sivusto) koordinointiin ja kehittämiseen, sekä monikulttuurisen työotteen kehittämiseen. (451 200 €) | Ak 16: Jäsenjärjestöissä tehtävän perhe- ja lähisuhdeväkivaltaan liittyvän ennaltaehkäisyn ja avotyön koordinointiin, kehittämiseen ja auditointiin sekä vaikuttamistyöhön ja Nettiturvakoti -sivuston kehittämiseen ja verkkoauttamisen koordinointiin (Perhe- ja lähisuhdeväkivaltatyö) (392 818 €) | Ak 22: Eroperheiden auttamisen kehittämiseen ja yhteistyövanhemmuuden ja rinnakkaisvanhemmuuden vahvistamiseen. Varhaisen tuen ja vaativien eropalvelujen kehittämiseen, menetelmien levittämiseen ja juurruttamiseen sekä vaikuttamistyöhön. Yhteistyön koordinointiin muiden alan toimijoiden kanssa (Ero lapsiperheessä -työ). (230 000 €)</t>
        </is>
      </c>
    </row>
    <row r="28">
      <c r="A28" s="2">
        <v>27</v>
      </c>
      <c r="B28" s="2">
        <v>526</v>
      </c>
      <c r="C28" t="inlineStr" s="0">
        <is>
          <t>VANHUSTYÖN KESKUSLIITTO RY</t>
        </is>
      </c>
      <c r="D28" s="2">
        <v>1673263.0</v>
      </c>
      <c r="E28" s="2">
        <v>997619.0</v>
      </c>
      <c r="F28" s="2">
        <v>675644.0</v>
      </c>
      <c r="G28" s="2">
        <v>59.6</v>
      </c>
      <c r="H28" s="2">
        <v>5</v>
      </c>
      <c r="I28" t="inlineStr" s="0">
        <is>
          <t>Ay 1: Yleisavustuksena avustuksen saajan yleishyödylliseen toimintaan (675 644 €) | Ak 10: Iäkkäiden yksinäisyyden kokemusten lievittämiseen, muistisairauden varhaisen vaiheen omahoitotaitojen vahvistamiseen, toimintakyvyn ylläpitämiseen ja edistämiseen sekä elämänhallinnan vahvistumiseen vertaistuellisen ryhmätoiminnan keinoin. Vapaaehtoisten ja ammattilaisten ryhmänohjausosaamisen edistämiseen sekä toiminnan juurruttamiseen ja levittämiseen koulutustoiminnan ja työpajojen avulla. Ystäväpiiri-toiminta ja siihen perustuva Omahoitovalmennus-toiminta. (415 548 €) | Ak 6: Pääkaupunkiseudun kotona asuvien iäkkäiden osallisuuden ja sosiaalisen vuorovaikutuksen vahvistamiseen sekä yksinäisyyden lievittämiseen ryhmä-, kesä-, virkistys- ja vapaaehtoistoiminnan keinoin. Gerontologisen vapaaehtoistoiminnan parissa toimivien tahojen yhteistyön ja vapaaehtoistoiminnan organisoinnin edistämiseen valtakunnallisen osaamisverkoston keinoin. Iäkkäille suunnattujen tietoiltapäivien organisointiin. Vapaaehtoisten ja ammattilaisten vertaistapaamisiin ja yhdessä oppimisen päiviin vahvistamaan heidän osaamista ryhmänohjauksessa ja sosiokulttuurisessa vanhustyössä. (Senioritoiminta) (224 211 €) | Ak 7: Korjausneuvontaan ja kotiturvallisuuden edistämiseen ikääntyneiden ihmisten kotona asumisen tukemiseksi sekä hyvinvoinnin ja toimintakykyisyyden vahvistamiseksi (203 916 €) | Ak 2322: Seniorien digiopastustoiminnan ja digiosallisuuden tukemiseen ja kehittämiseen koordinaation, verkostotyön, materiaalituotannon, vertaistuellisen etäopastuspalvelun, webinaarien ja vaikuttamistoiminnan keinoin (SeniorSurf) (153 944 €)</t>
        </is>
      </c>
    </row>
    <row r="29">
      <c r="A29" s="2">
        <v>28</v>
      </c>
      <c r="B29" s="2">
        <v>53</v>
      </c>
      <c r="C29" t="inlineStr" s="0">
        <is>
          <t>SUOMEN MERIPELASTUSSEURA RY</t>
        </is>
      </c>
      <c r="D29" s="2">
        <v>1671292.0</v>
      </c>
      <c r="E29" s="2">
        <v>307500.0</v>
      </c>
      <c r="F29" s="2">
        <v>1363792.0</v>
      </c>
      <c r="G29" s="2">
        <v>18.4</v>
      </c>
      <c r="H29" s="2">
        <v>4</v>
      </c>
      <c r="I29" t="inlineStr" s="0">
        <is>
          <t>B 1: Pelastusalushankintojen, korjauksien, huoltojen ja varustehankintojen menoihin (973 192 €) | Ay 1: Yleisavustuksena avustuksen saajan yleishyödylliseen toimintaan (390 600 €) | Ak 2: Meri- ja järvipelastustehtävissä toimivien vapaaehtoisten pätevyyden varmistamiseen, osaamisen lisäämiseen sekä miehistöjen toimintakyvyn ylläpitämiseen (262 500 €) | Ak 3: Jäsenjärjestöille kohdistettaviin avustuksiin (45 000 €)</t>
        </is>
      </c>
    </row>
    <row r="30">
      <c r="A30" s="2">
        <v>29</v>
      </c>
      <c r="B30" s="2">
        <v>758</v>
      </c>
      <c r="C30" t="inlineStr" s="0">
        <is>
          <t>NEUROLIITTO RY</t>
        </is>
      </c>
      <c r="D30" s="2">
        <v>1645050.0</v>
      </c>
      <c r="E30" s="2">
        <v>1004583.0</v>
      </c>
      <c r="F30" s="2">
        <v>640467.0</v>
      </c>
      <c r="G30" s="2">
        <v>61.1</v>
      </c>
      <c r="H30" s="2">
        <v>6</v>
      </c>
      <c r="I30" t="inlineStr" s="0">
        <is>
          <t>Ay 1: Yleisavustuksena avustuksen saajan yleishyödylliseen toimintaan (640 467 €) | Ak 4: Tavoitteellisiin, vertaistuellisiin ja psykososiaalista hyvinvointia vahvistaviin kursseihin MS-tautia, essentiaalista vapinaa ja neurologisia harvinaissairauksia sairastaville sekä heidän läheisilleen. Toteutusmuotoina avomuotoiset kurssit, yöpymiskurssit ja verkkokurssit. Yhteistyökursseille voivat osallistua myös  yhteistyöjärjestöjen kohderyhmiin kuuluvia henkilöitä ja heidän läheisiään. (569 834 €) | Ak 14: MS-tautia, essentiaalista vapinaa, neurologisia harvinaissairauksia, Parkinsonin tautia, harvinaisia liikehäiriösairauksia sairastavien, aivovammautuneiden ja aivoverenkiertohäiriön sairastaneiden sekä heidän läheistensä tukemiseen neuvontatoiminnalla (167 769 €) | Ak 8: MS-tautia, harvinaista neurologista tai liikehäiriösairautta sairastavien, aivovamman saaneiden tai aivoverenkiertohäiriön sairastaneiden työllistymisen ja työssä pysymisen edellytysten edistämiseen. Toimintana yksilöllinen ohjaus ja neuvonta, luennot, ryhmämuotoiset tiedolliset ja vertaistuelliset tilaisuudet, viestintä ja vaikuttamistyö. (157 780 €) | Ak 6: Harvinaisia neurologisia sairauksia sairastavien järjestö-, tiedotus- ja tukitoimintaan (84 200 €) | Ak 1619: Jäsenjärjestöille kohdistettaviin avustuksiin (25 000 €)</t>
        </is>
      </c>
    </row>
    <row r="31">
      <c r="A31" s="2">
        <v>30</v>
      </c>
      <c r="B31" s="2">
        <v>58</v>
      </c>
      <c r="C31" t="inlineStr" s="0">
        <is>
          <t>Takuusäätiö</t>
        </is>
      </c>
      <c r="D31" s="2">
        <v>1589858.0</v>
      </c>
      <c r="E31" s="2">
        <v>1138715.0</v>
      </c>
      <c r="F31" s="2">
        <v>451143.0</v>
      </c>
      <c r="G31" s="2">
        <v>71.6</v>
      </c>
      <c r="H31" s="2">
        <v>3</v>
      </c>
      <c r="I31" t="inlineStr" s="0">
        <is>
          <t>Ak 3: Taloudellisesti haavoittuvassa elämäntilanteessa olevien ihmisten ylivelkaantumisen ehkäisemiseen, velkakierteen katkaisemiseen ja talouden tasapainottamiseen takaus- ja pienluototustoiminnalla sekä puhelimitse ja internetissä toteutettavalla anonyymillä ja valtakunnallisella velkaneuvonnalla (943 572 €) | Ay 1: Yleisavustuksena avustuksen saajan yleishyödylliseen toimintaan (451 143 €) | Ak 2: Ammattilaisten, vapaaehtoisten ja vertaisten osaamisen lisäämiseen ja kouluttamiseen talous- ja velka-asioissa (TalousTsemppari-toiminta) (195 143 €)</t>
        </is>
      </c>
    </row>
    <row r="32">
      <c r="A32" s="2">
        <v>31</v>
      </c>
      <c r="B32" s="2">
        <v>1173</v>
      </c>
      <c r="C32" t="inlineStr" s="0">
        <is>
          <t>Helsingin Diakonissalaitoksen säätiö sr</t>
        </is>
      </c>
      <c r="D32" s="2">
        <v>1569036.0</v>
      </c>
      <c r="E32" s="2">
        <v>1569036.0</v>
      </c>
      <c r="F32" s="2">
        <v>0.0</v>
      </c>
      <c r="G32" s="2">
        <v>100.0</v>
      </c>
      <c r="H32" s="2">
        <v>9</v>
      </c>
      <c r="I32" t="inlineStr" s="0">
        <is>
          <t>Ak 3: Päihde- ja mielenterveysongelmaisten sekä syrjäytymisvaarassa olevien voimavarojen ja sosiaalisten verkostojen vahvistamiseen CABLE-yhteisövalmennuksen ja vapaaehtoistoiminnan keinoin (D-asemat Kallio ja Kontula) (360 635 €) | Ak 1: Kidutuksen uhrien ja pakolaisuuden traumatisoimien aikuisten psykiatriseen arviointi-, hoito- ja kuntoutustoimintaan sekä valtakunnalliseen sote-ammattilaisten, sekä viranomaisten neuvontaan, koulutukseen ja konsultointiin (197 000 €) | Ak 2233: Vaikeasti työllistyvien 16–29-vuotiaiden nuorten yksilöllisen urapolun rakentamiseen ja ohjaamiseen työelämään tai opiskelemaan (Vamos Urapalvelut) (169 488 €) | Ak 11077: Ulkomaalaisten vankien tukemiseen heidän vapautuessaan pitkäkestoisen yksilövalmennuksen sekä lyhytkestoisen neuvonnan ja ohjauksen avulla (163 146 €) | Ak 11014: Haavoittuvassa asemassa olevien aikuisten tukemiseen osallistavalla ja yhteisöjä kehittävällä yhteisö- ja vapaaehtoistoiminnalla Helsingin Kaarelassa (160 518 €) | Ak 11202: Alaikäisenä ilman huoltajaa Suomeen tulleiden nuorten kotoutumisen edistämiseen kummiperhetoiminnan avulla (151 115 €) | Ak 8711: Erityistä tukea tarvitsevien nuorten tukemiseen osallistavan kohtaamispaikkatoiminnan ja yksilöllisen tuen keinoin Jyväskylän alueella. (149 639 €) | Ak 1324: Nuorten syrjäytymistä ehkäisevän yhteisöllisen Amigo-mentorointiohjelman toteuttamiseen ja levittämiseen (112 495 €) | Ak 9877: Suomessa paperittomina oleskelevien toimintakyvyn ja elämänhallinnan tukemiseen etsivän työn, yhteisötoiminnan ja verkostoitumisen avulla (105 000 €)</t>
        </is>
      </c>
    </row>
    <row r="33">
      <c r="A33" s="2">
        <v>32</v>
      </c>
      <c r="B33" s="2">
        <v>976</v>
      </c>
      <c r="C33" t="inlineStr" s="0">
        <is>
          <t>BARNAVÅRDSFÖRENINGEN I FINLAND RF</t>
        </is>
      </c>
      <c r="D33" s="2">
        <v>1555225.0</v>
      </c>
      <c r="E33" s="2">
        <v>1308729.0</v>
      </c>
      <c r="F33" s="2">
        <v>246496.0</v>
      </c>
      <c r="G33" s="2">
        <v>84.2</v>
      </c>
      <c r="H33" s="2">
        <v>9</v>
      </c>
      <c r="I33" t="inlineStr" s="0">
        <is>
          <t>Ak 5: För att stöda familjer i att klara vardagens utmaningar med barn som har neuropsykiatriska symtom eller annars uppvisar utmanande beteende, genom individ- och gruppverksamhet samt informationsåtgärder / Perheiden tukemiseen arjen haasteista selviämiseen neuropsykiatrisesti oireilevien tai muuten haastavasti käyttäytyvien lasten kanssa yksilö- ja ryhmätoiminnan sekä tiedottamisen keinoin (Neuropsykiatriska tjänster/Neuropsykiatriset palvelut) (311 000 €) | Ak 11208: För att förebygga ensamhet, stärka sociala färdigheter och öka delaktighet genom lågtröskelverksamhet bland svenskspråkiga flickor i åldern 10–19 år, som är ensamma, har svag självkänsla, utmaningar i sociala situationer eller svårigheter hemma. Verksamheten genomförs i Nyland. (Tjejvillan) (288 750 €) | Ay 1: Som allmänt understöd för understödstagarens allmännyttiga verksamhet (246 496 €) | Ak 12297: För stöd med låg tröskel för familjer med barn med neuropsykiatriska störningar eller symtom genom gruppverksamhet och individuellt stöd samt genom information i Österbotten (Nepsy Vasa) /  Matalan kynnyksen ryhmämuotoiseen ja yksilölliseen tukeen ja perheille, joiden lapsilla on neuropsykiatrisia häiriöitä tai oireita, sekä tiedottamiseen Pohjanmaalla (Nepsy Vaasa) (232 836 €) | Ak 10061: Psykososiaalisesti vahvistavaan ryhmätoimintaan ja yksilölliseen tukeen pääkaupunkiseudulla 16-25-vuotiaille lastensuojelun sijoitetuille ja jälkihuollon piirissä oleville sekä nuorille, joiden jälkihoito-oikeus on päättynyt. Toiminnassa tarjotaan lisäksi nuorten kanssa toimiville ammattilaisille neuvontaa ja koulutusta. (Oman elämäni supertähti) (173 093 €) | Ak 4347: För att stöda svensk- och flerspråkiga skilsmässofamiljer, ombildade familjer samt föräldrar som upplever utmaningar i sitt parförhållande mot en mer fungerande vardag och ett stärkt föräldraskap genom gruppverksamhet och samtalsstöd samt genom att dela kunskap med professionella (150 150 €) | Ak 4: För att stöda familjer där föräldraskapet upplevs som belastande genom att ordna målinriktad gruppverksamhet för familjer i Raseborg och på andra orter i det svenskpråkiga Finland (61 950 €) | Ak 1905: För att stärka barns och ungas välmående, öka trivseln och främja psykiskt välbefinnande i skolvardagen genom att ordna gruppverksamhet (Vi i klassen, #brafiilis och Next Level) (47 900 €) | Ak 2: Neuropsykiatrisia haasteita kokevien ja muuten erityistarpeisten lasten sosiaalisten valmiuksien sekä itsetunnon vahvistamiseen Helsingissä järjestettävällä leiritoiminnalla (43 050 €)</t>
        </is>
      </c>
    </row>
    <row r="34">
      <c r="A34" s="2">
        <v>33</v>
      </c>
      <c r="B34" s="2">
        <v>103</v>
      </c>
      <c r="C34" t="inlineStr" s="0">
        <is>
          <t>SOLARIS-LOMAT RY</t>
        </is>
      </c>
      <c r="D34" s="2">
        <v>1538699.0</v>
      </c>
      <c r="E34" s="2">
        <v>1538699.0</v>
      </c>
      <c r="F34" s="2">
        <v>0.0</v>
      </c>
      <c r="G34" s="2">
        <v>100.0</v>
      </c>
      <c r="H34" s="2">
        <v>1</v>
      </c>
      <c r="I34" t="inlineStr" s="0">
        <is>
          <t>Ak 1: Sosiaaliseen lomatoimintaan vähävaraisille ja erityisen tuen tarpeisille lapsiperheille, työikäisille ja iäkkäille sekä erityisryhmille. (1 538 699 €)</t>
        </is>
      </c>
    </row>
    <row r="35">
      <c r="A35" s="2">
        <v>34</v>
      </c>
      <c r="B35" s="2">
        <v>1052</v>
      </c>
      <c r="C35" t="inlineStr" s="0">
        <is>
          <t>Rikoksettoman elämän tukisäätiö sr</t>
        </is>
      </c>
      <c r="D35" s="2">
        <v>1470529.0</v>
      </c>
      <c r="E35" s="2">
        <v>1081532.0</v>
      </c>
      <c r="F35" s="2">
        <v>388997.0</v>
      </c>
      <c r="G35" s="2">
        <v>73.5</v>
      </c>
      <c r="H35" s="2">
        <v>7</v>
      </c>
      <c r="I35" t="inlineStr" s="0">
        <is>
          <t>Ay 4: Yleisavustuksena avustuksen saajan yleishyödylliseen toimintaan (388 997 €) | Ak 3: Rikostaustaisten uusintarikollisuuden ehkäisyyn ja elämänhallinnan tukemiseen sekä päihde- ja mielenterveyskuntoutujien elämänhallinnan tukemiseen. Toimintamuotoina vertaistukitoiminnot päivällä sekä ilta- ja viikonloppuaikoina, yksilöllinen tuki, ryhmätoiminta sekä vankilainfot (Vertaistoiminnot Redis, Raittila ja Nuorten toiminta) (347 164 €) | Ak 1: Rikosseuraamusasiakkaiden ja heidän omaistensa tiedon lisäämiseen oikeuksistaan neuvonnalla, vankilainfoilla ja vaikuttamistyöllä (Kriminaaliasiamiestoiminta) (235 450 €) | Ak 7: Rikostaustaisten läheis- ja perhetyön koordinointiin sekä vankien ja heidän omaistensa tukemiseen yksilöohjauksella sekä vertaisryhmä- ja leiritoiminnalla (207 868 €) | Ak 5: Asunnottomana vankilasta vapautuvien ja muiden rikosseuraamustaustaisten henkilöiden asunnottomuuden ja uusintarikollisuuden vähentämiseen asumispalveluohjauksen sekä Vapautuvien Asumisen Tuen (VAT) -verkoston avulla (113 050 €) | Ak 9765: Vankilasta vapautuvien rikostaustaisten naisten päihteistä ja rikollisuudesta irtaantumisen tukeen naiserityiseen asiantuntemukseen ja vertaisuuteen perustuvan tuen sekä kuntoutumispolun rakentamisen avulla (110 000 €) | Ak 8: Rikostaustaisten oppimisvalmennustyöhön koulutuksen, verkostokoordinoinnin sekä yksilö- ja ryhmämuotoisen toiminnan avulla (Oppimisvalmennustyön koordinaatio) (68 000 €)</t>
        </is>
      </c>
    </row>
    <row r="36">
      <c r="A36" s="2">
        <v>35</v>
      </c>
      <c r="B36" s="2">
        <v>820</v>
      </c>
      <c r="C36" t="inlineStr" s="0">
        <is>
          <t>Suomen CP-liitto ry, Finlands CP-förbund rf</t>
        </is>
      </c>
      <c r="D36" s="2">
        <v>1454920.0</v>
      </c>
      <c r="E36" s="2">
        <v>764010.0</v>
      </c>
      <c r="F36" s="2">
        <v>690910.0</v>
      </c>
      <c r="G36" s="2">
        <v>52.5</v>
      </c>
      <c r="H36" s="2">
        <v>5</v>
      </c>
      <c r="I36" t="inlineStr" s="0">
        <is>
          <t>Ay 1: Yleisavustuksena avustuksen saajan yleishyödylliseen toimintaan (690 910 €) | Ak 2: Toimijuuden, hyvinvoinnin ja myönteisen minäkuvan vahvistaminen tavoitteellisen ryhmätoiminnan keinoin. Kohderyhmänä ovat henkilöt, joilla itsellään tai joiden omaisella tai läheisellä on cp-vamma, mmc, hydrokefalia tai normaalipaineinen hydrokefalia. Toimintamuotoina ovat kurssit, neuvonta, ohjaus (kasvokkain, puhelimitse, verkossa), alustukset, verkostotyöskentely sekä ohjaavan materiaalin tuottaminen ja viestintä. (528 650 €) | Ak 7: Henkilöiden, joilla on cp-vamma, meningomyeloseele (mmc), hydrokefalia tai normaalipaineinen hydrokefalia sekä heidän läheisten tukemiseen, osallisuuden ja hyvinvoinnin vahvistamiseen vertaistukitoiminnan, neuvonnan, tiedon jakamisen sekä yhteiskunnallisen vaikuttamisen keinoin (172 000 €) | Ak 6: Perhelomitustoimintaan vaikeasti vammaisten lasten vanhempien arjen tilapäiseksi helpottamiseksi (ei lakisääteisen omaishoidon vapaan tai vammaispalvelulain mukaisen lyhytaikaisen huolenpidon järjestämiseen) (40 000 €) | Ak 11: Jäsenjärjestöille kohdistettaviin avustuksiin (23 360 €)</t>
        </is>
      </c>
    </row>
    <row r="37">
      <c r="A37" s="2">
        <v>36</v>
      </c>
      <c r="B37" s="2">
        <v>1165</v>
      </c>
      <c r="C37" t="inlineStr" s="0">
        <is>
          <t>Eläkeliitto ry</t>
        </is>
      </c>
      <c r="D37" s="2">
        <v>1442898.0</v>
      </c>
      <c r="E37" s="2">
        <v>729800.0</v>
      </c>
      <c r="F37" s="2">
        <v>713098.0</v>
      </c>
      <c r="G37" s="2">
        <v>50.6</v>
      </c>
      <c r="H37" s="2">
        <v>5</v>
      </c>
      <c r="I37" t="inlineStr" s="0">
        <is>
          <t>Ay 1: Yleisavustuksena avustuksen saajan yleishyödylliseen toimintaan (713 098 €) | Ak 1621: Aisti- tai toimintakyvyltään heikentyneiden ikääntyneiden hyvinvoinnin edistämiseen musiikkisisältöisen ja muun toimintakykyä tukevan vapaaehtoistoiminnan avulla sekä vapaaehtoisten osaamisen vahvistamiseen (277 000 €) | Ak 3: Yli 50-vuotiaiden leskeytyneiden ja avio-/avoeron kokeneiden ammatillisesti ohjattuun vertaistuelliseen ryhmätoimintaan sekä isovanhemmuuden tukemiseen eroperheissä (242 550 €) | Ak 7: Osteopenian ja osteoporoosin ennaltaehkäisyyn ja luuston terveyttä edistävän liikunnan lisäämiseen vertaisohjaajien koulutuksen avulla (Murtumatta mukana - Spänst i benen) (110 250 €) | Ak 1029: Jäsenjärjestöille kohdistettaviin avustuksiin (100 000 €)</t>
        </is>
      </c>
    </row>
    <row r="38">
      <c r="A38" s="2">
        <v>37</v>
      </c>
      <c r="B38" s="2">
        <v>470</v>
      </c>
      <c r="C38" t="inlineStr" s="0">
        <is>
          <t>Hengitysliitto ry</t>
        </is>
      </c>
      <c r="D38" s="2">
        <v>1419506.0</v>
      </c>
      <c r="E38" s="2">
        <v>584000.0</v>
      </c>
      <c r="F38" s="2">
        <v>835506.0</v>
      </c>
      <c r="G38" s="2">
        <v>41.1</v>
      </c>
      <c r="H38" s="2">
        <v>5</v>
      </c>
      <c r="I38" t="inlineStr" s="0">
        <is>
          <t>Ay 1: Yleisavustuksena avustuksen saajan yleishyödylliseen toimintaan (835 506 €) | Ak 6: Sisäilmaneuvontaan, sisäilmaongelmien ennaltaehkäisemiseen ja vähentämiseen sekä sisäilmasta sairastuneiden tukemiseen vertais- ja vaikuttamistoiminnalla (297 000 €) | Ak 8: Aikuisten nikotiinituotteiden käytön lopettamisen tukeen verkko-, puhelin- ja vertaistuen avulla (120 000 €) | Ak 5: Harvinaista hengityssairautta sairastavien sekä heidän läheistensä hyvinvoinnin tukemiseen, neuvontaan, vertaistuki- ja vapaaehtoistoimintaan sekä ammattilaisten tiedon lisäämiseen (117 000 €) | Ak 1419: Jäsenjärjestöille kohdistettaviin avustuksiin (50 000 €)</t>
        </is>
      </c>
    </row>
    <row r="39">
      <c r="A39" s="2">
        <v>38</v>
      </c>
      <c r="B39" s="2">
        <v>638</v>
      </c>
      <c r="C39" t="inlineStr" s="0">
        <is>
          <t>SUOMEN REUMALIITTO RY-REUMAFÖRBUNDET I FINLAND RF</t>
        </is>
      </c>
      <c r="D39" s="2">
        <v>1372991.0</v>
      </c>
      <c r="E39" s="2">
        <v>602763.0</v>
      </c>
      <c r="F39" s="2">
        <v>770228.0</v>
      </c>
      <c r="G39" s="2">
        <v>43.9</v>
      </c>
      <c r="H39" s="2">
        <v>6</v>
      </c>
      <c r="I39" t="inlineStr" s="0">
        <is>
          <t>Ay 1: Yleisavustuksena avustuksen saajan yleishyödylliseen toimintaan (770 228 €) | Ak 6: Reumaa sekä tuki- ja liikuntaelinsairauksia sairastavien kurssitoimintaan elämänhallinnan, hyvinvoinnin ja terveyden tukemiseksi vertaistuellisen ryhmätoiminnan avulla (154 000 €) | Ak 18: Valtakunnalliseen järjestöjen kokemustoimijuuden verkostotoimintaan (149 100 €) | Ak 8: Jäsenjärjestöille kohdistettaviin avustuksiin (143 850 €) | Ak 17: Harvinaisiin sairaus- tai vammaryhmiin kuuluvien ja heidän läheistensä aseman parantamiseen, tiedon välittämiseen sekä vaikuttamistyöhön eri harvinaisryhmien hyväksi (139 000 €) | Ak 11: Harvinaista reuma- ja tule-sairautta sairastavien tiedon, verkostoitumisen ja vertaistuen lisäämiseen (16 813 €)</t>
        </is>
      </c>
    </row>
    <row r="40">
      <c r="A40" s="2">
        <v>39</v>
      </c>
      <c r="B40" s="2">
        <v>294</v>
      </c>
      <c r="C40" t="inlineStr" s="0">
        <is>
          <t>PRO-TUKIPISTE RY</t>
        </is>
      </c>
      <c r="D40" s="2">
        <v>1366587.0</v>
      </c>
      <c r="E40" s="2">
        <v>993544.0</v>
      </c>
      <c r="F40" s="2">
        <v>373043.0</v>
      </c>
      <c r="G40" s="2">
        <v>72.7</v>
      </c>
      <c r="H40" s="2">
        <v>5</v>
      </c>
      <c r="I40" t="inlineStr" s="0">
        <is>
          <t>Ak 1: Seksityössä mukana olevien neuvontaan, matalan kynnyksen tukitoimintaan, yhteisölliseen toimintaan ja etsivään työhön pääkaupunkiseudulla. (438 563 €) | Ay 2: Yleisavustuksena avustuksen saajan yleishyödylliseen toimintaan (373 043 €) | Ak 5678: Seksityössä mukana olevien neuvontaan, matalan kynnyksen tukitoimintaan, yhteisölliseen toimintaan ja etsivään työhön Turun seudulla. (212 710 €) | Ak 3: Seksityössä mukana olevien neuvontaan, matalan kynnyksen tukitoimintaan, yhteisölliseen toimintaan ja etsivään työhön Pirkanmaalla. (195 143 €) | Ak 4: Kaupallisen tai vastikkeellisen seksin yhteydessä väkivallan, kuten ihmiskaupan uhriksi joutuneiden ihmisten tunnistamis- ja tukityöhön sekä tiedontuotanto-, verkosto- ja vaikuttamistoimintaan (VV-työ). (147 128 €)</t>
        </is>
      </c>
    </row>
    <row r="41">
      <c r="A41" s="2">
        <v>40</v>
      </c>
      <c r="B41" s="2">
        <v>199</v>
      </c>
      <c r="C41" t="inlineStr" s="0">
        <is>
          <t>MIESSAKIT RY</t>
        </is>
      </c>
      <c r="D41" s="2">
        <v>1365435.0</v>
      </c>
      <c r="E41" s="2">
        <v>1079667.0</v>
      </c>
      <c r="F41" s="2">
        <v>285768.0</v>
      </c>
      <c r="G41" s="2">
        <v>79.1</v>
      </c>
      <c r="H41" s="2">
        <v>6</v>
      </c>
      <c r="I41" t="inlineStr" s="0">
        <is>
          <t>Ak 5: Vanhemmuuden ja elämänhallinnan tukemiseen erotilanteessa oleville miehille yksilö- ja ryhmämuotoisen auttamisen, tukihenkilötoiminnan sekä puhelin- ja verkkoauttamisen keinoin (346 185 €) | Ak 2: Lähisuhdeväkivallan ehkäisyyn sekä miesten toteuttaman lähisuhdeväkivallan käytön lopettamiseen yksilö-, pari- ja ryhmämuotoisen työskentelyn avulla Uudellamaalla ja Pohjois-Savossa (Lyömätön Linja) (345 394 €) | Ay 6: Yleisavustuksena avustuksen saajan yleishyödylliseen toimintaan (285 768 €) | Ak 10258: Miesten toimintakyvyn ja hyvinvoinnin tukemiseen yksilöllisen ja ryhmämuotoisen tuen sekä vertaisauttamisen avulla, erityiskohderyhmänä isät pikkulapsiperheissä, joissa toisella tai molemmilla vanhemmista on masennusta tai masennustyyppistä oireilua (MASI - Masennusoireisten perheiden isien tuki) (152 250 €) | Ak 6021: Väkivaltaa kokeneiden miesten väkivallankokemukseen liittyvien haitallisten psyykkisten seurauksien vähentämiseen yksilötapaamisten, puhelin-, sähköposti- ja verkkoauttamisen, vertaisryhmätoiminnan sekä viestinnän keinoin (Väkivaltaa Kokeneet Miehet) (148 838 €) | Ak 6066: Maahan muuttaneiden miesten työelämävalmiuksien ja työllistymisen edistämiseen sekä kaksisuuntaisen kotoutumisen tukemiseen mentori-, tukihenkilö- ja suomenkielisen keskusteluryhmätoiminnan avulla Helsingissä, Turussa ja Tampereella (Vieraasta Veljeksi) (87 000 €)</t>
        </is>
      </c>
    </row>
    <row r="42">
      <c r="A42" s="2">
        <v>41</v>
      </c>
      <c r="B42" s="2">
        <v>696</v>
      </c>
      <c r="C42" t="inlineStr" s="0">
        <is>
          <t>Suomen Pakolaisapu ry, Finlands Flyktinghjälp rf</t>
        </is>
      </c>
      <c r="D42" s="2">
        <v>1355640.0</v>
      </c>
      <c r="E42" s="2">
        <v>1059000.0</v>
      </c>
      <c r="F42" s="2">
        <v>296640.0</v>
      </c>
      <c r="G42" s="2">
        <v>78.1</v>
      </c>
      <c r="H42" s="2">
        <v>7</v>
      </c>
      <c r="I42" t="inlineStr" s="0">
        <is>
          <t>Ay 7: Yleisavustuksena avustuksen saajan yleishyödylliseen toimintaan (296 640 €) | Ak 4285: Haavoittuvassa asemassa olevien maahan muuttaneiden nuorten aikuisten toimintakyvyn vahvistamiseen ja palveluihin ohjautumiseen ja kiinnittymiseen sekä syrjäytymisen ehkäisyyn neuvonnalla, yksilöllisellä tuella ja palveluohjauksella sekä ammattilaisten osaamisen lisäämisellä (Kurvi) (277 000 €) | Ak 4: Maahanmuuttaneiden perustamien ja monikulttuuristen yhdistysten toimintavalmiuksien tukemiseen sekä yhdistystoimijoiden osaamisen, voimavarojen ja vertaisuuden lisäämiseen koulutusten, neuvonnan ja työpajojen avulla (Järjestöhautomo) (235 000 €) | Ak 12034: Maahan muuttaneiden työperäisen hyväksikäytön ennaltaehkäisyyn ja vähentämiseen etsivän työn, ohjauksen ja neuvonnan, tiedottamisen, koulutusten sekä sidosryhmäyhteistyön avulla (Reilu työelämä) (203 000 €) | Ak 10300: Työttömien ja työttömyysuhan alla olevien maahan muuttaneiden ja pakolaistaustaisten henkilöiden työelämäosallisuuden lisäämiseen ja työelämäpolun tukemiseen valmennuksien, yksilöllisen ohjauksen ja vapaaehtoispohjaisen mentoroinnin sekä työnantajayhteistyön avulla (147 000 €) | Ak 1336: Maahan muuttaneiden arjen kielitaidon, osallisuuden ja toimintavalmiuksien vahvistamiseen sekä kaksisuuntaisen kotoutumisen edistämiseen vapaaehtoisten vetämien kieliryhmien ja asiointituen avulla (132 000 €) | Ak 3: Maahan muuttaneiden hyvinvoinnin edistämiseen ja aktiivisen kansalaisuuden vahvistamiseen vertaistoimintaa ja yhteiskunnan vastaanottavuutta edistämällä.  Toimintamuotoina VeTo-verkoston koordinointi ja sen jäsenorganisaatioiden osaamisen kehittäminen ja vertaisohjaajien koulutukset sekä ohjaajien ja organisaatioiden yhteistyöverkostojen vahvistaminen  (Kasvokkain) (65 000 €)</t>
        </is>
      </c>
    </row>
    <row r="43">
      <c r="A43" s="2">
        <v>42</v>
      </c>
      <c r="B43" s="2">
        <v>843</v>
      </c>
      <c r="C43" t="inlineStr" s="0">
        <is>
          <t>Diabetesliitto ry</t>
        </is>
      </c>
      <c r="D43" s="2">
        <v>1340493.0</v>
      </c>
      <c r="E43" s="2">
        <v>537243.0</v>
      </c>
      <c r="F43" s="2">
        <v>803250.0</v>
      </c>
      <c r="G43" s="2">
        <v>40.1</v>
      </c>
      <c r="H43" s="2">
        <v>4</v>
      </c>
      <c r="I43" t="inlineStr" s="0">
        <is>
          <t>Ay 1: Yleisavustuksena avustuksen saajan yleishyödylliseen toimintaan (803 250 €) | Ak 10: Ammatillisesti ohjattuun ja vertaisuutta hyödyntävään ryhmämuotoiseen kurssitoimintaan avo- tai internaattimuotoisena sekä verkko- ja puhelinauttamista hyödyntäen - diabetesta sairastaville ja erityisryhmille - eläkeläisille läheisineen - kehitysvammaisille diabetesta sairastaville lapsille vanhempineen - diabetesta ja mielenterveyden häiriötä sairastaville (350 889 €) | Ak 4370: Diabetesta sairastavien verkkomuotoiseen omahoidon tukemiseen (Diabetekseen sairastuneen tuki) (123 354 €) | Ak 12: Jäsenjärjestöille kohdistettaviin avustuksiin (63 000 €)</t>
        </is>
      </c>
    </row>
    <row r="44">
      <c r="A44" s="2">
        <v>43</v>
      </c>
      <c r="B44" s="2">
        <v>271</v>
      </c>
      <c r="C44" t="inlineStr" s="0">
        <is>
          <t>IKÄINSTITUUTIN SÄÄTIÖ</t>
        </is>
      </c>
      <c r="D44" s="2">
        <v>1332073.0</v>
      </c>
      <c r="E44" s="2">
        <v>576125.0</v>
      </c>
      <c r="F44" s="2">
        <v>755948.0</v>
      </c>
      <c r="G44" s="2">
        <v>43.3</v>
      </c>
      <c r="H44" s="2">
        <v>3</v>
      </c>
      <c r="I44" t="inlineStr" s="0">
        <is>
          <t>Ay 1: Yleisavustuksena avustuksen saajan yleishyödylliseen toimintaan (755 948 €) | Ak 1247: Toimintakyvyltään jossain määrin heikentyneiden, kotona asuvien ikäihmisten toimintakyvyn, osallisuuden ja itsenäisen selviytymisen edistämiseen terveysliikunnan keinoin (Voimaa vanhuuteen - hyvien terveysliikunnan toimintakäytäntöjen juurrutus) (389 745 €) | Ak 7385: Kotona asuvien iäkkäimpien asukkaiden osallisuuden vahvistamiseen sekä yhdessä oloon ja liikkumisen lisäämiseen kodin läheisyydessä.  Taloyhtiöissä ja naapurustoissa toimintaa järjestävien vapaaehtoisten valmentamiseen. Iäkkäiden hyvinvointia tukevan yhteistyön käynnistämiseen ja lisäämiseen kaupungin eri sektoreiden sekä paikallisten yhdistysten ja taloyhtiöiden kesken. (Yhdessä kotikulmilla) (186 380 €)</t>
        </is>
      </c>
    </row>
    <row r="45">
      <c r="A45" s="2">
        <v>44</v>
      </c>
      <c r="B45" s="2">
        <v>655</v>
      </c>
      <c r="C45" t="inlineStr" s="0">
        <is>
          <t>Aseman Lapset ry</t>
        </is>
      </c>
      <c r="D45" s="2">
        <v>1309040.0</v>
      </c>
      <c r="E45" s="2">
        <v>1052000.0</v>
      </c>
      <c r="F45" s="2">
        <v>257040.0</v>
      </c>
      <c r="G45" s="2">
        <v>80.4</v>
      </c>
      <c r="H45" s="2">
        <v>6</v>
      </c>
      <c r="I45" t="inlineStr" s="0">
        <is>
          <t>Ak 12468: Nuorten toistuvan rikos- ja päihdekäyttäytymisen pysäyttämiseen kokemusasiantuntijoiden tuottamilla tukitoiminnoilla yhteistyössä perheiden, viranomaisten, lastensuojelun, lastensuojelulaitosten, rikosseuraamuslaitoksen ja järjestöjen kanssa (343 000 €) | Ay 1: Yleisavustuksena avustuksen saajan yleishyödylliseen toimintaan (257 040 €) | Ak 4: Vakavasti oireilevien nuorten tukemiseen liikkuvalla toiminnalla pääkaupunkiseudulla ja Uudenmaan alueella (Walkers-bussi-toiminta) (231 000 €) | Ak 10375: Vakaviin rikoksiin syyllistyneiden ja päihteitä käyttävien alle 20-vuotiaiden nuorten, heidän ystäviensä ja läheistensä osallisuuden vahvistamiseen yksilö- ja perhetyöllä sekä leiritoiminnan avulla yhteistyössä viranomaisten kanssa Helsingissä.  (Nuorten rikoskierteisiin puuttuva Pasila-toiminta) (185 000 €) | Ak 4287: Julkisissa ja puolijulkisissa tiloissa oleilevien nuorten turvallisen vapaa-ajanvieton mahdollistamiseen, sekä riskialttiissa elämäntilanteessa olevien nuorten tunnistamiseen monitoimijaisen nuorisotyön avulla   (Löytävä nuorisotyö) (159 000 €) | Ak 7305: Rikosoireilevia ja rikoksen uhriksi joutuneita nuoria tukevaan katusovittelutoimintaan Uudellamaalla  (Katusovittelutoiminta) (134 000 €)</t>
        </is>
      </c>
    </row>
    <row r="46">
      <c r="A46" s="2">
        <v>45</v>
      </c>
      <c r="B46" s="2">
        <v>286</v>
      </c>
      <c r="C46" t="inlineStr" s="0">
        <is>
          <t>Tukena-säätiö sr</t>
        </is>
      </c>
      <c r="D46" s="2">
        <v>1291400.0</v>
      </c>
      <c r="E46" s="2">
        <v>993800.0</v>
      </c>
      <c r="F46" s="2">
        <v>297600.0</v>
      </c>
      <c r="G46" s="2">
        <v>77.0</v>
      </c>
      <c r="H46" s="2">
        <v>4</v>
      </c>
      <c r="I46" t="inlineStr" s="0">
        <is>
          <t>Ak 2: Erityistä ja monimuotoista tukea tarvitsevien perheiden hyvinvoinnin vahvistamiseen ryhmätoiminnalla, yksilöllisellä tuella, yhteistyöllä ja tiedottamisella (Perheiden tukena yhteisöissä) (450 000 €) | Ak 20: Kehitysvamman tai muun syyn vuoksi tukea tarvitsevien ihmisten itsemääräämisoikeuden toteutumiseen, mielipiteiden ja toiveiden ilmaisussa rohkaistumiseen sekä valintojen tekemisessä tukemiseen. (Osallisuuden tukena) (380 000 €) | Ay 1: Yleisavustuksena avustuksen saajan yleishyödylliseen toimintaan (297 600 €) | Ak 3900: Vammaisten ihmisten yhdenvertaisuuden, osallisuuden ja liikkuvuuden edistämiseen Suomessa EU:n Vammaiskorttia ylläpitämällä ja kehittämällä (Vammaiskortti) (163 800 €)</t>
        </is>
      </c>
    </row>
    <row r="47">
      <c r="A47" s="2">
        <v>46</v>
      </c>
      <c r="B47" s="2">
        <v>233</v>
      </c>
      <c r="C47" t="inlineStr" s="0">
        <is>
          <t>SUOMEN KUUROSOKEAT RY</t>
        </is>
      </c>
      <c r="D47" s="2">
        <v>1281857.0</v>
      </c>
      <c r="E47" s="2">
        <v>935777.0</v>
      </c>
      <c r="F47" s="2">
        <v>346080.0</v>
      </c>
      <c r="G47" s="2">
        <v>73.0</v>
      </c>
      <c r="H47" s="2">
        <v>5</v>
      </c>
      <c r="I47" t="inlineStr" s="0">
        <is>
          <t>Ak 5: Kuurosokeiden syrjäytymisen ehkäisemiseen ja elämänhallinnan parantamiseen alueellisen tiedotus-, neuvonta-, ohjaus- ja tukityön avulla (381 000 €) | Ay 1: Yleisavustuksena avustuksen saajan yleishyödylliseen toimintaan (346 080 €) | Ak 13: Kuurosokeiden ja kuulonäkövammaisten itsenäisen arjen asioinnin ja sosiaalisen kanssakäymisen tukemiseen tieto- ja viestintäteknologian ohjaus-, tuki- ja koulutustoiminnan avulla (270 375 €) | Ak 7: Kuurosokeiden ja kuulonäkövammaisten toimintakyvyn tukemiseen kaksoisaistivamman seurannaisvaikutusten aiheuttamissa muutoksissa ryhmämuotoisen, vertaistuellisen ja tavoitteellisen kurssitoiminnan avulla (144 227 €) | Ak 15: Kuurosokeiden, kuulonäkövammaisten sekä heidän lähipiirinsä ja verkostonsa kommunikaatiotaitojen ja vuorovaikutuksen lisäämiseen ohjauksen, koulutuksen ja kommunikaatiomateriaalituotannon avulla (140 175 €)</t>
        </is>
      </c>
    </row>
    <row r="48">
      <c r="A48" s="2">
        <v>47</v>
      </c>
      <c r="B48" s="2">
        <v>1214</v>
      </c>
      <c r="C48" t="inlineStr" s="0">
        <is>
          <t>TUKIKOHTA RY</t>
        </is>
      </c>
      <c r="D48" s="2">
        <v>1246390.0</v>
      </c>
      <c r="E48" s="2">
        <v>1019449.0</v>
      </c>
      <c r="F48" s="2">
        <v>226941.0</v>
      </c>
      <c r="G48" s="2">
        <v>81.8</v>
      </c>
      <c r="H48" s="2">
        <v>6</v>
      </c>
      <c r="I48" t="inlineStr" s="0">
        <is>
          <t>Ak 6: Vaikeasta päihdeongelmasta kärsivien ja heidän läheistensä arjen vahvistamiseen matalan kynnyksen tuella, ohjauksella sekä ryhmätoiminnalla (Kohtaamo: Avoimet ovet -kohtaamispaikka, palveluohjaus, Elämäntaitotoiminta, läheisten tuki- ja neuvontapalvelut) (302 889 €) | Ak 5859: Päihteitä käyttävien ja päihdekuntoutujien toimintakyvyn sekä päihteettömyyden ja työllistymisen edellytysten vahvistamiseen osallisuutta ja työelämävalmiuksia edistävien toimintamuotojen avulla (Kynnyksetön vapaaehtois- ja työpajatoiminta, Väylä-ryhmä ja Suunta-kurssi) (265 650 €) | Ay 2886: Yleisavustuksena avustuksen saajan yleishyödylliseen toimintaan (226 941 €) | Ak 12065: Syrjäytymisvaarassa olevien ja syrjäytyneiden päihteiden käyttäjien tavoittamiseen ja tukemiseen etsivän työn keinoin sekä julkisissa tiloissa työskentelevien päihdetietouden lisäämiseen pienimuotoisen koulutustoiminnan avulla (163 000 €) | Ak 4319: Päihde- ja mielenterveysongelmista kärsivien asiakkaiden hyvinvoinnin vahvistamiseen sairaalaympäristössä toteutettavan tukitoiminnan sekä sairaalahoidon jälkeisen palveluohjauksen avulla (Satu-toiminta) (161 910 €) | Ak 10845: Tor-verkossa toimivien päihteitä käyttävien ihmisten sosiaali- ja palveluneuvontaan, sote-ammattilaisten Tor-verkkoon liittyvän osaamisen vahvistamiseen ja vertaisneuvojien kouluttamiseen (126 000 €)</t>
        </is>
      </c>
    </row>
    <row r="49">
      <c r="A49" s="2">
        <v>48</v>
      </c>
      <c r="B49" s="2">
        <v>1157</v>
      </c>
      <c r="C49" t="inlineStr" s="0">
        <is>
          <t>SUOMEN SYÖPÄYHDISTYS RY</t>
        </is>
      </c>
      <c r="D49" s="2">
        <v>1241351.0</v>
      </c>
      <c r="E49" s="2">
        <v>933191.0</v>
      </c>
      <c r="F49" s="2">
        <v>308160.0</v>
      </c>
      <c r="G49" s="2">
        <v>75.2</v>
      </c>
      <c r="H49" s="2">
        <v>3</v>
      </c>
      <c r="I49" t="inlineStr" s="0">
        <is>
          <t>Ak 12: Nuorten tupakka- ja nikotiinituotteiden käytön ehkäisyyn ja lopettamisen tukemiseen sekä terveellisten elintapojen edistämiseen nuoren pystyvyyttä ja motivaatiota lisäämällä, nuorten toimintaympäristöjä kehittämällä ja nuorten lähiaikuisten tietoja ja taitoja lisäämällä (480 958 €) | Ak 4: Syöpäjärjestöjen yksilölliseen ja ryhmämuotoiseen psykososiaaliseen tukeen syöpään sairastuneille ja heidän läheisilleen (452 233 €) | Ay 1: Yleisavustuksena avustuksen saajan yleishyödylliseen toimintaan (308 160 €)</t>
        </is>
      </c>
    </row>
    <row r="50">
      <c r="A50" s="2">
        <v>49</v>
      </c>
      <c r="B50" s="2">
        <v>1027</v>
      </c>
      <c r="C50" t="inlineStr" s="0">
        <is>
          <t>MUNUAIS- JA MAKSALIITTO RY</t>
        </is>
      </c>
      <c r="D50" s="2">
        <v>1234119.0</v>
      </c>
      <c r="E50" s="2">
        <v>523899.0</v>
      </c>
      <c r="F50" s="2">
        <v>710220.0</v>
      </c>
      <c r="G50" s="2">
        <v>42.5</v>
      </c>
      <c r="H50" s="2">
        <v>5</v>
      </c>
      <c r="I50" t="inlineStr" s="0">
        <is>
          <t>Ay 1: Yleisavustuksena avustuksen saajan yleishyödylliseen toimintaan (710 220 €) | Ak 6: Munuais- ja maksasairautta sairastavien sekä elinsiirron saaneiden lasten, nuorten ja aikuisten sekä heidän läheistensä kokonaisvaltaisen hyvinvoinnin tukemiseen järjestämällä ohjattuja ryhmämuotoisia kursseja joko lähijaksoina tai verkossa tapahtuvana. Kursseille osallistuvien vertaisohjaajien kouluttamiseen, ohjaamiseen ja toiminnan organisointiin. (210 898 €) | Ak 12: Elinluovutusten edistämiseen tähtäävään tiedotustoimintaan suurelle yleisölle, medialle ja hoitohenkilökunnalle (Lahja elämälle) (180 463 €) | Ak 11: Elinsiirtoa odottavien, elinsiirron saaneiden ja sairastuneiden lapsiperheiden vertaistoiminnan mahdollistamiseen, tuen ja tiedon jakamiseen, omahoidon tukemiseen sekä yhteistyöhön hoitoyksiköiden ja muiden järjestöjen kanssa ja hoitorengaspalveluun lapsiperheille, joille ei ole myönnetty omaishoidon vapaata. Kohderyhminä munuais- ja maksasairautta sairastavat ja/tai elinsiirron saaneet lapset ja nuoret, aikuistuvat nuoret sekä heidän läheisensä. Lapsiperheet, joissa vanhemmalla on vakava munuais- tai maksasairaus. Sairastuneita lapsia, nuoria ja perheitä työssään kohtaavat. (89 538 €) | Ak 3: Jäsenjärjestöille kohdistettaviin avustuksiin (43 000 €)</t>
        </is>
      </c>
    </row>
    <row r="51">
      <c r="A51" s="2">
        <v>50</v>
      </c>
      <c r="B51" s="2">
        <v>292</v>
      </c>
      <c r="C51" t="inlineStr" s="0">
        <is>
          <t>LAHDEN ENSI- JA TURVAKOTI RY</t>
        </is>
      </c>
      <c r="D51" s="2">
        <v>1226664.0</v>
      </c>
      <c r="E51" s="2">
        <v>1226664.0</v>
      </c>
      <c r="F51" s="2">
        <v>0.0</v>
      </c>
      <c r="G51" s="2">
        <v>100.0</v>
      </c>
      <c r="H51" s="2">
        <v>6</v>
      </c>
      <c r="I51" t="inlineStr" s="0">
        <is>
          <t>Ak 5652: Vauvaperheiden päihteettömän ja turvallisen arjen vahvistamiseen sekä päihteiden aiheuttamien haittojen ehkäisemiseen vauvalle kohtaavan etsivän ja matalan kynnyksen työllä, ja yhteisöllisellä vertaisryhmä-, perhe- ja yksilötyöskentelyllä. Tavoitteena on tukea vauvan ja vanhemman välistä vuorovaikutusta sekä edistää vauvaperheiden osallisuutta. (Pidä kiinni -hoitojärjestelmän avopalveluyksikkö Päijät-Häme 2026) (337 600 €) | Ak 8: Yksilö-, pari- ja ryhmämuotoiseen väkivalta- ja turvallisuustyöhön perhe- ja lähisuhdeväkivallan kokijoiden, tekijöiden ja heidän läheistensä kanssa sekä lähisuhdeväkivallan ehkäisytyöhön (Väkivaltatyön avopalvelu) (266 805 €) | Ak 1221: Erokriisissä olevien perheiden auttamiseen ja tukemiseen sekä ennaltaehkäisemään erojen konfliktoitumista ja huoltoriitoja vertaisryhmätoiminnan, asiakastyön ja erotukihenkilötoiminnan keinoin huomioiden erityisesti lapsen ja nuoren asema ja tarpeet (Ero lapsiperheessä työ) (170 451 €) | Ak 2: Lapsiperheitä tukevaan järjestölähtöiseen avopalvelutoimintaan (Vauvaperheohjaus, Kohtaamispaikka Perhetupa- ja mieskaveritoiminta sekä vapaaehtoisdoula-toiminta erityistä tukea tarvitseville lapsiperheille) (167 229 €) | Ak 12306: Kodin ulkopuoliseen väkivaltaan syyllistyneiden tai syyllistymisriskissä olevien väkivaltaisen käyttäytymisen vähentämiseen ja ehkäisemiseen yksilöllisen asiakastyön ja verkostotyön avulla (Aggredi Päijät-Häme) (160 000 €) | Ak 13: Vauvaperheiden vanhemmuuden ja vuorovaikutuksen ryhmämuotoiseen tukemiseen (Vauvaperheryhmä Peukaloinen) (124 579 €)</t>
        </is>
      </c>
    </row>
    <row r="52">
      <c r="A52" s="2">
        <v>51</v>
      </c>
      <c r="B52" s="2">
        <v>1139</v>
      </c>
      <c r="C52" t="inlineStr" s="0">
        <is>
          <t>SUOMEN SYDÄNLIITTO RY - FINLANDS HJÄRTFÖRBUND RF</t>
        </is>
      </c>
      <c r="D52" s="2">
        <v>1196188.0</v>
      </c>
      <c r="E52" s="2">
        <v>718037.0</v>
      </c>
      <c r="F52" s="2">
        <v>478151.0</v>
      </c>
      <c r="G52" s="2">
        <v>60.0</v>
      </c>
      <c r="H52" s="2">
        <v>3</v>
      </c>
      <c r="I52" t="inlineStr" s="0">
        <is>
          <t>Ay 1: Yleisavustuksena avustuksen saajan yleishyödylliseen toimintaan (478 151 €) | Ak 3: Sydänpiirien ja valtakunnallisten sydänyhdistysten järjestämiin toimintakykyä ja vertaistukea edistäviin etä- tai lähikursseihin sydänsairastuneiden ja heidän läheistensä tueksi (377 895 €) | Ak 4465: Sydänterveyden ja toimintakyvyn edistämiseen tiedonvälityksen, vertaistuen ja ammattilaisten koulutuksen keinoin (340 142 €)</t>
        </is>
      </c>
    </row>
    <row r="53">
      <c r="A53" s="2">
        <v>52</v>
      </c>
      <c r="B53" s="2">
        <v>647</v>
      </c>
      <c r="C53" t="inlineStr" s="0">
        <is>
          <t>MONIKA-NAISET LIITTO RY</t>
        </is>
      </c>
      <c r="D53" s="2">
        <v>1187351.0</v>
      </c>
      <c r="E53" s="2">
        <v>781182.0</v>
      </c>
      <c r="F53" s="2">
        <v>406169.0</v>
      </c>
      <c r="G53" s="2">
        <v>65.8</v>
      </c>
      <c r="H53" s="2">
        <v>4</v>
      </c>
      <c r="I53" t="inlineStr" s="0">
        <is>
          <t>Ak 2: Väkivaltaa tai sen uhkaa kokeneiden maahan muuttaneiden naisten matalan kynnyksen kriisiauttamiseen, ihmiskaupan vastaiseen työhön ja lasten tukemiseen turvakotijakson jälkeen.   Toimintamuotoina matalan kynnyksen palveluohjaus ja neuvonta, yksilöllinen tuki, kriisityö, maksuton auttava puhelin, verkkoauttaminen, vertaistukitoiminta sekä asiantuntija- ja vaikuttamistyö (Kriisikeskus Monika) (487 396 €) | Ay 4: Yleisavustuksena avustuksen saajan yleishyödylliseen toimintaan (359 869 €) | Ak 7: Maahan muuttaneiden naisten osallisuuden, toimijuuden ja työelämävalmiuksien edistämiseen matalan kynnyksen toiminnalla pääkaupunkiseudulla.  Toimintamuotoina yksilöohjaus ja neuvonta, vertaisryhmä- ja vapaaehtoistoiminta sekä asiantuntija- ja verkostotyö (Kotoutumiskeskus Monika) (293 786 €) | C 13827: Kansalaisuus, tasa-arvo, perusoikeudet ja arvot -rahoitusohjelman (CERV) hankkeen "Riza" osarahoitukseen järjestölle (2026-2028) (46 300 €)</t>
        </is>
      </c>
    </row>
    <row r="54">
      <c r="A54" s="2">
        <v>53</v>
      </c>
      <c r="B54" s="2">
        <v>742</v>
      </c>
      <c r="C54" t="inlineStr" s="0">
        <is>
          <t>Allergia- Iho- ja Astmaliitto ry, Allergi- Hud- och Astmaförbundet rf</t>
        </is>
      </c>
      <c r="D54" s="2">
        <v>1157857.0</v>
      </c>
      <c r="E54" s="2">
        <v>456982.0</v>
      </c>
      <c r="F54" s="2">
        <v>700875.0</v>
      </c>
      <c r="G54" s="2">
        <v>39.5</v>
      </c>
      <c r="H54" s="2">
        <v>3</v>
      </c>
      <c r="I54" t="inlineStr" s="0">
        <is>
          <t>Ay 2: Yleisavustuksena avustuksen saajan yleishyödylliseen toimintaan (700 875 €) | Ak 6: Allergiaa, astmaa ja ihotauteja sairastavien sekä palovamman kokeneiden ja heidän läheistensä hyvinvoinnin sekä työ- ja toimintakyvyn edistämiseen ja ylläpitämiseen internaatti- ja avomuotoisten sekä verkossa toteutettavien kurssien avulla (368 382 €) | Ak 3: Jäsenjärjestöille kohdistettaviin avustuksiin (88 600 €)</t>
        </is>
      </c>
    </row>
    <row r="55">
      <c r="A55" s="2">
        <v>54</v>
      </c>
      <c r="B55" s="2">
        <v>73</v>
      </c>
      <c r="C55" t="inlineStr" s="0">
        <is>
          <t>EPILEPSIALIITTO RY</t>
        </is>
      </c>
      <c r="D55" s="2">
        <v>1125346.0</v>
      </c>
      <c r="E55" s="2">
        <v>374436.0</v>
      </c>
      <c r="F55" s="2">
        <v>750910.0</v>
      </c>
      <c r="G55" s="2">
        <v>33.3</v>
      </c>
      <c r="H55" s="2">
        <v>3</v>
      </c>
      <c r="I55" t="inlineStr" s="0">
        <is>
          <t>Ay 1: Yleisavustuksena avustuksen saajan yleishyödylliseen toimintaan (750 910 €) | Ak 5: Epilepsiaa sairastavien ihmisten ja heidän läheistensä hyvinvointia ja toimintakykyä tukevaan tavoitteelliseen vertaistuki-, ryhmä- ja kurssitoimintaan valtakunnallisesti ja alueellisesti verkko- ja lähitapaamisina (301 140 €) | Ak 4: Jäsenjärjestöille kohdistettaviin avustuksiin (73 296 €)</t>
        </is>
      </c>
    </row>
    <row r="56">
      <c r="A56" s="2">
        <v>55</v>
      </c>
      <c r="B56" s="2">
        <v>597</v>
      </c>
      <c r="C56" t="inlineStr" s="0">
        <is>
          <t>AIVOVAMMALIITTO RY</t>
        </is>
      </c>
      <c r="D56" s="2">
        <v>1124787.0</v>
      </c>
      <c r="E56" s="2">
        <v>587226.0</v>
      </c>
      <c r="F56" s="2">
        <v>537561.0</v>
      </c>
      <c r="G56" s="2">
        <v>52.2</v>
      </c>
      <c r="H56" s="2">
        <v>4</v>
      </c>
      <c r="I56" t="inlineStr" s="0">
        <is>
          <t>Ay 1: Yleisavustuksena avustuksen saajan yleishyödylliseen toimintaan (537 561 €) | Ak 7075: Aivovammautuneiden henkilöiden ja aivoverenkiertohäiriön sairastaneiden sekä heidän läheistensä vertais- ja kokemustoiminnan koordinointiin sekä kehittämiseen ja näihin liittyvien tapahtumien ja koulutusten järjestämiseen (336 226 €) | Ak 2: Aivovamman saaneiden henkilöiden, aivoverenkiertohäiriön sairastaneiden ja heidän läheistensä ammatillisesti ohjattavaan, vertaistukea hyödyntävään tavoitteelliseen ryhmätoimintaan voimavarojen vahvistamiseksi sekä elämänhallinnan tunteen edistämiseksi (220 000 €) | Ak 6: Jäsenjärjestöille kohdistettaviin avustuksiin (31 000 €)</t>
        </is>
      </c>
    </row>
    <row r="57">
      <c r="A57" s="2">
        <v>56</v>
      </c>
      <c r="B57" s="2">
        <v>735</v>
      </c>
      <c r="C57" t="inlineStr" s="0">
        <is>
          <t>Omaishoitajaliitto ry, Närståendevårdarnas förbund rf</t>
        </is>
      </c>
      <c r="D57" s="2">
        <v>1064258.0</v>
      </c>
      <c r="E57" s="2">
        <v>344010.0</v>
      </c>
      <c r="F57" s="2">
        <v>720248.0</v>
      </c>
      <c r="G57" s="2">
        <v>32.3</v>
      </c>
      <c r="H57" s="2">
        <v>3</v>
      </c>
      <c r="I57" t="inlineStr" s="0">
        <is>
          <t>Ay 1: Yleisavustuksena avustuksen saajan yleishyödylliseen toimintaan (720 248 €) | Ak 8: OmaisOiva-toiminnan valtakunnalliseen koordinointiin, tukemiseen sekä arviointiin ja kehittämiseen. OmaisOiva-toimintaa toteuttavat Omaishoitajaliiton jäsenyhdistykset  (OmaisOiva) (269 010 €) | Ak 6: Jäsenjärjestöille kohdistettaviin avustuksiin (75 000 €)</t>
        </is>
      </c>
    </row>
    <row r="58">
      <c r="A58" s="2">
        <v>57</v>
      </c>
      <c r="B58" s="2">
        <v>605</v>
      </c>
      <c r="C58" t="inlineStr" s="0">
        <is>
          <t>Kohtaus ry</t>
        </is>
      </c>
      <c r="D58" s="2">
        <v>1061850.0</v>
      </c>
      <c r="E58" s="2">
        <v>1061850.0</v>
      </c>
      <c r="F58" s="2">
        <v>0.0</v>
      </c>
      <c r="G58" s="2">
        <v>100.0</v>
      </c>
      <c r="H58" s="2">
        <v>2</v>
      </c>
      <c r="I58" t="inlineStr" s="0">
        <is>
          <t>Ak 9829: Nuorten aikuisten mielenterveyskuntoutujien tukemiseen ja ohjaamiseen ryhmätoiminnan ja yksilöllisen tuen avulla kahdessa kohtaamispaikassa Helsingissä (542 850 €) | Ak 7151: Erityistä tukea tarvitsevien nuorten aikuisten yksinäisyyden vähentämiseen ja arjen hyvinvoinnin edistämiseen kynnyksettömällä yhteisötoiminnalla ja yksilöllisellä varhaisella tuella Helsingissä. (519 000 €)</t>
        </is>
      </c>
    </row>
    <row r="59">
      <c r="A59" s="2">
        <v>58</v>
      </c>
      <c r="B59" s="2">
        <v>337</v>
      </c>
      <c r="C59" t="inlineStr" s="0">
        <is>
          <t>MUISTILIITTO RY</t>
        </is>
      </c>
      <c r="D59" s="2">
        <v>1049702.0</v>
      </c>
      <c r="E59" s="2">
        <v>467759.0</v>
      </c>
      <c r="F59" s="2">
        <v>581943.0</v>
      </c>
      <c r="G59" s="2">
        <v>44.6</v>
      </c>
      <c r="H59" s="2">
        <v>3</v>
      </c>
      <c r="I59" t="inlineStr" s="0">
        <is>
          <t>Ay 1: Yleisavustuksena avustuksen saajan yleishyödylliseen toimintaan (581 943 €) | Ak 7: Muistiyhdistysten ja niihin kuuluvien Muistiluotsiasiantuntija- ja tukikeskusten koordinoimiseen, asiantuntijatyön ja vapaaehtoistoiminnan tukemiseen sekä muistisairaiden ja heidän läheistensä puhelinneuvonnan (MuistiNeuvo) koordinoimiseen valtakunnallisesti. (418 145 €) | Ak 12: Jäsenjärjestöille kohdistettaviin avustuksiin (49 614 €)</t>
        </is>
      </c>
    </row>
    <row r="60">
      <c r="A60" s="2">
        <v>59</v>
      </c>
      <c r="B60" s="2">
        <v>285</v>
      </c>
      <c r="C60" t="inlineStr" s="0">
        <is>
          <t>VAILLA VAKINAISTA ASUNTOA RY</t>
        </is>
      </c>
      <c r="D60" s="2">
        <v>1020278.0</v>
      </c>
      <c r="E60" s="2">
        <v>785313.0</v>
      </c>
      <c r="F60" s="2">
        <v>234965.0</v>
      </c>
      <c r="G60" s="2">
        <v>77.0</v>
      </c>
      <c r="H60" s="2">
        <v>3</v>
      </c>
      <c r="I60" t="inlineStr" s="0">
        <is>
          <t>Ak 3: Asunnottomuutta kokevien ja asunnottomuusuhan alla olevien matalan kynnyksen auttamistyöhön (Vertais- ja vapaaehtoistoiminnan keskus Vepa, asunnottomien ihmisten täydentävä ohjaus ja neuvonta asumisasioissa, liikkuva tukityö ja palveluihin ohjaus, maahan muuttaneiden ohjaus ja neuvonta asuntoasioissa, yökeskus Kalkkers, etsivä työ Yökiitäjä ja päihteettömät virkistyspaikat Vartiosaari ja Soldis sekä vapaaehtoistoiminta) (626 693 €) | Ay 4376: Yleisavustuksena avustuksen saajan yleishyödylliseen toimintaan (234 965 €) | Ak 6377: Asunnottomuutta koskevan kokemusasiantuntemuksen hyödyntämisen edistämiseen asunnottomuustaustaisia kokemusasiantuntijoita kouluttamalla ja verkostoimalla (158 620 €)</t>
        </is>
      </c>
    </row>
    <row r="61">
      <c r="A61" s="2">
        <v>60</v>
      </c>
      <c r="B61" s="2">
        <v>213</v>
      </c>
      <c r="C61" t="inlineStr" s="0">
        <is>
          <t>ELÄKKEENSAAJIEN KESKUSLIITTO RY</t>
        </is>
      </c>
      <c r="D61" s="2">
        <v>1012684.0</v>
      </c>
      <c r="E61" s="2">
        <v>364550.0</v>
      </c>
      <c r="F61" s="2">
        <v>648134.0</v>
      </c>
      <c r="G61" s="2">
        <v>36.0</v>
      </c>
      <c r="H61" s="2">
        <v>4</v>
      </c>
      <c r="I61" t="inlineStr" s="0">
        <is>
          <t>Ay 1: Yleisavustuksena avustuksen saajan yleishyödylliseen toimintaan (648 134 €) | Ak 4497: Ikääntyneiden itsenäisen arjessa selviytymisen tukemiseen, syrjäytymisen ehkäisyyn ja osallisuuden lisäämiseen digitalisoituvassa yhteiskunnassa kouluttamalla vertaisohjaajia sekä järjestämällä koulutustilaisuuksia ja tapahtumia (Verkosta virtaa - ikääntyneiden itsenäinen selviytyminen digitalisoituvassa yhteiskunnassa) (154 350 €) | Ak 2535: Ikääntyneiden mielen hyvinvoinnin lisäämiseen sekä yksinäisyyden kokemusten vähentämiseen vapaaehtoisten osaamista edistämällä (Elinvoimaa) (132 200 €) | Ak 1398: Jäsenjärjestöille kohdistettaviin avustuksiin (78 000 €)</t>
        </is>
      </c>
    </row>
    <row r="62">
      <c r="A62" s="2">
        <v>61</v>
      </c>
      <c r="B62" s="2">
        <v>1064</v>
      </c>
      <c r="C62" t="inlineStr" s="0">
        <is>
          <t>Tukinainen ry, Tukinainen rf</t>
        </is>
      </c>
      <c r="D62" s="2">
        <v>1002679.0</v>
      </c>
      <c r="E62" s="2">
        <v>636906.0</v>
      </c>
      <c r="F62" s="2">
        <v>365773.0</v>
      </c>
      <c r="G62" s="2">
        <v>63.5</v>
      </c>
      <c r="H62" s="2">
        <v>2</v>
      </c>
      <c r="I62" t="inlineStr" s="0">
        <is>
          <t>Ak 5708: Seksuaalirikosten uhrien sekä heidän läheistensä järjestölähtöiseen tukeen ja oikeuksien neuvontaan yksilö-, ryhmä-, verkko- ja puhelinauttamisen keinoin Helsingissä, Jyväskylässä, Lappeenrannassa ja Rovaniemellä. Ammattilaisten neuvontaan ja koulutukseen. (636 906 €) | Ay 4: Yleisavustuksena avustuksen saajan yleishyödylliseen toimintaan (365 773 €)</t>
        </is>
      </c>
    </row>
    <row r="63">
      <c r="A63" s="2">
        <v>62</v>
      </c>
      <c r="B63" s="2">
        <v>845</v>
      </c>
      <c r="C63" t="inlineStr" s="0">
        <is>
          <t>FOLKHÄLSANS FÖRBUND RF</t>
        </is>
      </c>
      <c r="D63" s="2">
        <v>988944.0</v>
      </c>
      <c r="E63" s="2">
        <v>774000.0</v>
      </c>
      <c r="F63" s="2">
        <v>214944.0</v>
      </c>
      <c r="G63" s="2">
        <v>78.3</v>
      </c>
      <c r="H63" s="2">
        <v>7</v>
      </c>
      <c r="I63" t="inlineStr" s="0">
        <is>
          <t>Ay 1: Som allmänt understöd för understödstagarens allmännyttiga verksamhet (214 944 €) | Ak 6192: För att främja kommunikativt och specialpedagogiskt tillgängliga miljöer för barn, unga och vuxna med funktionsvariation eller andra särskilda behov och stöda dem med kamratstödsgrupper och konsultationer, och för att utveckla alternativ och kompletterande kommunikation (AKK), specialpedagogik och informations- och kommunikationsteknologi (IKT) och sprida dem i samhället (179 444 €) | Ak 2: För att förbättra välmåendet hos närståendevårdare och -vårdtagare genom kamratstödsgrupper, rekreation och information (164 000 €) | Ak 3: För att främja en trygg skolmiljö genom koordinering, spridning och utveckling av vänelevs- och tutorverksamhet som stöder skolors och utbildningenheters trivselfrämjande och mobbningsförebyggande verksamhet (137 000 €) | Ak 7542: För att öka välbefinnandet och delaktigheten hos personer med sällsynta genetiska sjukdomar och deras närstående genom lågtröskelverksamhet, kamratstöd och information, och för att öka kunskapen hos professionella som i sitt arbete möter personer med sällsynta diagnoser (124 667 €) | Ak 6181: För att stöda funktionsförmågan hos barn med funktionsvariation samt för att stöda familjerna i en utmanande livssituation med hjälp av kursverksamhet (103 889 €) | Ak 4: För mentaliseringsbaserat föräldrastödsarbete och föräldragruppsverksamhet som stöder familjens interaktion (65 000 €)</t>
        </is>
      </c>
    </row>
    <row r="64">
      <c r="A64" s="2">
        <v>63</v>
      </c>
      <c r="B64" s="2">
        <v>114</v>
      </c>
      <c r="C64" t="inlineStr" s="0">
        <is>
          <t>NICEHEARTS RY</t>
        </is>
      </c>
      <c r="D64" s="2">
        <v>984433.0</v>
      </c>
      <c r="E64" s="2">
        <v>984433.0</v>
      </c>
      <c r="F64" s="2">
        <v>0.0</v>
      </c>
      <c r="G64" s="2">
        <v>100.0</v>
      </c>
      <c r="H64" s="2">
        <v>3</v>
      </c>
      <c r="I64" t="inlineStr" s="0">
        <is>
          <t>Ak 1368: Tukea tarvitsevien ja syrjäytymisvaarassa olevien tyttöjen ja nuorten naisten sosiaaliseen vahvistamiseen sekä osallisuuden ja yhteisöllisyyden edistämiseen matalan kynnyksen kohtaamispaikkatoiminnan, vertaistukiryhmien, psykososiaalisen tuen, seksuaalineuvonnan ja jalkautuvan työn sekä yhteistyön avulla Vantaalla ja Lappeenrannassa  (Tyttöjen Tila) (377 078 €) | Ak 10386: Maahanmuuttajataustaisten naisten ja heidän lähiyhteisöjensä hyvinvoinnin, osallisuuden ja toimijuuden edistämiseen Naapuriäiti-toiminnan avulla (353 780 €) | Ak 2: Haavoittuvassa asemassa olevien maahan muuttaneiden ja romanitaustaisten naisten sosiaaliseen vahvistumiseen, syrjäytymisen ehkäisemiseen sekä yhteisöllisyyden lisäämiseen matalan kynnyksen yksilöllisen tuen ja palveluohjauksen sekä vertaisryhmä- ja vapaaehtoistoiminnan ja väkivaltatyön avulla  (Wahva Nainen) (253 575 €)</t>
        </is>
      </c>
    </row>
    <row r="65">
      <c r="A65" s="2">
        <v>64</v>
      </c>
      <c r="B65" s="2">
        <v>326</v>
      </c>
      <c r="C65" t="inlineStr" s="0">
        <is>
          <t>Aspa-säätiö sr</t>
        </is>
      </c>
      <c r="D65" s="2">
        <v>983411.0</v>
      </c>
      <c r="E65" s="2">
        <v>729395.0</v>
      </c>
      <c r="F65" s="2">
        <v>254016.0</v>
      </c>
      <c r="G65" s="2">
        <v>74.2</v>
      </c>
      <c r="H65" s="2">
        <v>4</v>
      </c>
      <c r="I65" t="inlineStr" s="0">
        <is>
          <t>Ak 7065: Arjessaan tukea tarvitsevien nuorten  osallisuuden, voimavarojen sekä itsenäisen ja oman näköisen elämän valmiuksien vahvistamiseen voimavaravalmennusmenetelmien ja kokemustoimijuuden avulla sekä erilaisilla luovilla ja avoimilla toiminnoilla (290 850 €) | Ak 9707: Arjessa tukea tarvitsevien ihmisten osallisuuden vahvistamiseen digivalmiuksia- ja taitoja parantamalla sekä tarjoamalla yhteisön ja harrastusmahdollisuuksia verkossa (268 545 €) | Ay 1: Yleisavustuksena avustuksen saajan yleishyödylliseen toimintaan (254 016 €) | Ak 11856: Mielenterveyden tai neurokirjon haasteita kokevien lastensuojelutaustaisten nuorten ja pitkäaikaisasunnottomien arjenhallinta- ja asumistaitojen vahvistamiseen Asumisen ajokortti -valmennusmallin sekä vertaisuuden keinoin. (170 000 €)</t>
        </is>
      </c>
    </row>
    <row r="66">
      <c r="A66" s="2">
        <v>65</v>
      </c>
      <c r="B66" s="2">
        <v>748</v>
      </c>
      <c r="C66" t="inlineStr" s="0">
        <is>
          <t>TAMPEREEN ENSI- JA TURVAKOTI RY</t>
        </is>
      </c>
      <c r="D66" s="2">
        <v>982077.0</v>
      </c>
      <c r="E66" s="2">
        <v>982077.0</v>
      </c>
      <c r="F66" s="2">
        <v>0.0</v>
      </c>
      <c r="G66" s="2">
        <v>100.0</v>
      </c>
      <c r="H66" s="2">
        <v>4</v>
      </c>
      <c r="I66" t="inlineStr" s="0">
        <is>
          <t>Ak 6: Lapsiperheiden hyvinvoinnin ylläpitämiseen ja edistämiseen sekä lasten kasvun ja vanhemmuuden tukemiseen ja perheiden tilanteiden heikentymisen/kriisiytymisen ennalta ehkäisemiseen alueellisen kohtaamispaikkatoiminnan keinoin kolmella perhetuvalla Tampereella (361 693 €) | Ak 9: Yksilö- ja perhemuotoiseen avokriisityöhön perhe- ja lähisuhdeväkivallan kokijoiden ja tekijöiden kanssa (lasten ja nuorten yksilötyö, 0-3-vuotiaiden lasten perheiden kanssa tehtävä väkivaltatyö ja väkivallan eri osapuolten kanssa tehtävä työ) sekä perheiden tukemiseen uniohjauksen, eroauttamisen ja vapaaehtoisuuteen perustuvan mieskaveritoiminnan keinoin (251 404 €) | Ak 10758: Kodin ulkopuoliseen väkivaltaan  syyllistyneiden tai syyllistymisriskissä olevien väkivaltaisen käyttäytymisen vähentämiseen ja ehkäisemiseen yksilöllisen asiakastyön ja verkostotyön avulla (Aggredi Pirkanmaa) (241 500 €) | Ak 11: Vauvaperheiden vanhemmuuden ja vuorovaikutuksen ryhmämuotoiseen tukemiseen (Vauvaperheryhmä Pikku-Miina) ja vapaaehtoisdoulatoiminnan koordinointiin (127 480 €)</t>
        </is>
      </c>
    </row>
    <row r="67">
      <c r="A67" s="2">
        <v>66</v>
      </c>
      <c r="B67" s="2">
        <v>1008</v>
      </c>
      <c r="C67" t="inlineStr" s="0">
        <is>
          <t>VIOLA - väkivallasta vapaaksi ry</t>
        </is>
      </c>
      <c r="D67" s="2">
        <v>970183.0</v>
      </c>
      <c r="E67" s="2">
        <v>687459.0</v>
      </c>
      <c r="F67" s="2">
        <v>282724.0</v>
      </c>
      <c r="G67" s="2">
        <v>70.9</v>
      </c>
      <c r="H67" s="2">
        <v>4</v>
      </c>
      <c r="I67" t="inlineStr" s="0">
        <is>
          <t>Ak 4280: Eron jälkeisen monimuotoisen väkivallan ja vainon kohteena elävien perheiden turvallisuuden lisäämiseen yksilö- ja ryhmätyöskentelyn keinoin sekä vainoamisen ennaltaehkäisyyn ja seurausten minimoimiseen konsultaation, koulutuksen, kehittämisen ja tutkimusyhteistyön keinoin (VARJO) (297 988 €) | Ay 3244: Yleisavustuksena avustuksen saajan yleishyödylliseen toimintaan (282 724 €) | Ak 3: Miesten hyvinvoinnin lisäämiseen ja vaikeuksien ennaltaehkäisemiseen ryhmä- ja yksilötoiminnan keinoin (Miesten asema -toiminta) sekä pikkulapsiperheiden hyvinvoinnin edistämiseen ja vaikeuksien ennaltaehkäisyyn (Jalkautuva vanhemmuusasema -toiminta) (228 837 €) | Ak 1: Yksilö-, pari-, perhe- ja ryhmämuotoiseen avokriisityöhön perhe- ja lähisuhdeväkivallan uhrien ja tekijöiden kanssa (Lähisuhdeväkivaltatyön avopalvelut Etelä-Savon hyvinvointialueella) (160 634 €)</t>
        </is>
      </c>
    </row>
    <row r="68">
      <c r="A68" s="2">
        <v>67</v>
      </c>
      <c r="B68" s="2">
        <v>611</v>
      </c>
      <c r="C68" t="inlineStr" s="0">
        <is>
          <t>TURUN ENSI- JA TURVAKOTI RY</t>
        </is>
      </c>
      <c r="D68" s="2">
        <v>968097.0</v>
      </c>
      <c r="E68" s="2">
        <v>968097.0</v>
      </c>
      <c r="F68" s="2">
        <v>0.0</v>
      </c>
      <c r="G68" s="2">
        <v>100.0</v>
      </c>
      <c r="H68" s="2">
        <v>4</v>
      </c>
      <c r="I68" t="inlineStr" s="0">
        <is>
          <t>Ak 7: Lähisuhdeväkivallan ehkäisyyn, väkivallan seurausten käsittelyyn ja turvallisuuden lisäämiseen sekä lähisuhdeväkivaltaa käyttäneiden auttamiseen väkivallan lopettamiseksi yksilö-, pari-, perhe- ja ryhmätoiminnan keinoin (Lähisuhdeväkivaltatyö Pilari) (355 005 €) | Ak 5883: Vauvaperheiden päihteettömän ja turvallisen arjen vahvistamiseen sekä päihteiden aiheuttamien haittojen ehkäisemiseen vauvalle kohtaavan etsivän ja matalan kynnyksen työllä, ja yhteisöllisellä vertaisryhmä-, perhe- ja yksilötyöskentelyllä. Tavoitteena on tukea vauvan ja vanhemman välistä vuorovaikutusta sekä edistää vauvaperheiden osallisuutta. (Pidä kiinni -hoitojärjestelmän avopalveluyksikkö Olivia 2026) (283 000 €) | Ak 5921: Huoltoriitojen ehkäisyyn ja lapselle aiheutuvan kärsimyksen vähentämiseen tarjoamalla yksilö-, pari-, perhe- ja ryhmämuotoista tukea eroa harkitseville, eronneille vanhemmille ja heidän lapsilleen (Eroauttamistyö Silta) (173 092 €) | Ak 12152: Matalan kynnyksen tuen tarjoamiseen perheille varhaisen vuorovaikutuksen, vanhempien jaksamisen ja perheen arjen sujumisen vahvistamiseksi sekä synnytyksen jälkeiseen masennukseen (Vauvaperheohjaus -toiminta 2024-2026) (157 000 €)</t>
        </is>
      </c>
    </row>
    <row r="69">
      <c r="A69" s="2">
        <v>68</v>
      </c>
      <c r="B69" s="2">
        <v>349</v>
      </c>
      <c r="C69" t="inlineStr" s="0">
        <is>
          <t>LIHASTAUTILIITTO RY</t>
        </is>
      </c>
      <c r="D69" s="2">
        <v>948776.0</v>
      </c>
      <c r="E69" s="2">
        <v>252351.0</v>
      </c>
      <c r="F69" s="2">
        <v>696425.0</v>
      </c>
      <c r="G69" s="2">
        <v>26.6</v>
      </c>
      <c r="H69" s="2">
        <v>4</v>
      </c>
      <c r="I69" t="inlineStr" s="0">
        <is>
          <t>Ay 1: Yleisavustuksena avustuksen saajan yleishyödylliseen toimintaan (696 425 €) | Ak 2: Läsnä-, etä- ja verkkokursseihin sekä lasten vertaistuellisiin leireihin, joilla parannetaan lihassairaan henkilön ja hänen läheisensä toimintakykyä, elämälaatua, voimavaroja ja vahvuuksien tunnistamista (181 713 €) | Ak 7: Lihastautia sairastavien henkilöiden yhdenvertaisuuden ja osallisuuden edistämiseen koulu- ja työelämässä. Toimintamuotoina yksilöllinen neuvonta, ryhmät, tapahtumat, viestintä, vaikuttamistyö ja oikeuksien valvonta. (60 638 €) | Ak 14: Jäsenjärjestöille kohdistettaviin avustuksiin (10 000 €)</t>
        </is>
      </c>
    </row>
    <row r="70">
      <c r="A70" s="2">
        <v>69</v>
      </c>
      <c r="B70" s="2">
        <v>1207</v>
      </c>
      <c r="C70" t="inlineStr" s="0">
        <is>
          <t>ADHD-LIITTO RY</t>
        </is>
      </c>
      <c r="D70" s="2">
        <v>941242.0</v>
      </c>
      <c r="E70" s="2">
        <v>387871.0</v>
      </c>
      <c r="F70" s="2">
        <v>553371.0</v>
      </c>
      <c r="G70" s="2">
        <v>41.2</v>
      </c>
      <c r="H70" s="2">
        <v>4</v>
      </c>
      <c r="I70" t="inlineStr" s="0">
        <is>
          <t>Ay 1: Yleisavustuksena avustuksen saajan yleishyödylliseen toimintaan (553 371 €) | Ak 2: Adhd-oireisten ja heidän läheistensä psyykkisen, sosiaalisen ja fyysisen hyvinvoinnin tukemiseen ryhmämuotoisen, tavoitteellisen ja vertaistuellisen kurssitoiminnan avulla (190 071 €) | Ak 1341: Vertais- ja kokemustoimintaan adhd-oireisten ja heidän läheistensä osallisuuden ja hyvinvoinnin vahvistamiseksi sekä tietoisuuden lisäämiseen adhd-oirekuvasta (179 000 €) | Ak 7: Jäsenjärjestöille kohdistettaviin avustuksiin (18 800 €)</t>
        </is>
      </c>
    </row>
    <row r="71">
      <c r="A71" s="2">
        <v>70</v>
      </c>
      <c r="B71" s="2">
        <v>637</v>
      </c>
      <c r="C71" t="inlineStr" s="0">
        <is>
          <t>Liikehäiriösairauksien liitto ry</t>
        </is>
      </c>
      <c r="D71" s="2">
        <v>933165.0</v>
      </c>
      <c r="E71" s="2">
        <v>297000.0</v>
      </c>
      <c r="F71" s="2">
        <v>636165.0</v>
      </c>
      <c r="G71" s="2">
        <v>31.8</v>
      </c>
      <c r="H71" s="2">
        <v>3</v>
      </c>
      <c r="I71" t="inlineStr" s="0">
        <is>
          <t>Ay 1: Yleisavustuksena avustuksen saajan yleishyödylliseen toimintaan (636 165 €) | Ak 4: Liikehäiriösairauksia sairastavien ja heidän läheistensä ammattilaisten ohjaamaan, vertaistuen mahdollistavaan ja arkiselviytymistä vahvistavaan tavoitteelliseen ryhmätoimintaan. Toiminnan toteutus lähi- ja verkkomuotoisina kursseina. (230 000 €) | Ak 3: Jäsenjärjestöille kohdistettaviin avustuksiin (67 000 €)</t>
        </is>
      </c>
    </row>
    <row r="72">
      <c r="A72" s="2">
        <v>71</v>
      </c>
      <c r="B72" s="2">
        <v>632</v>
      </c>
      <c r="C72" t="inlineStr" s="0">
        <is>
          <t>HELSINGIN ENSIKOTI RY</t>
        </is>
      </c>
      <c r="D72" s="2">
        <v>917258.0</v>
      </c>
      <c r="E72" s="2">
        <v>917258.0</v>
      </c>
      <c r="F72" s="2">
        <v>0.0</v>
      </c>
      <c r="G72" s="2">
        <v>100.0</v>
      </c>
      <c r="H72" s="2">
        <v>2</v>
      </c>
      <c r="I72" t="inlineStr" s="0">
        <is>
          <t>Ak 5951: Vauvaperheiden päihteettömän arjen vahvistamiseen sekä vauvan ja vanhemman vuorovaikutussuhteen tukemiseen vertaisryhmä-, perhe- ja yksilötyöskentelyllä sekä etsivän ja matalan kynnyksen toimintamallin toteuttamiseen eritysesti Silta-toiminnalla (Pidä kiinni -hoitojärjestelmän avopalveluyksikkö Pesä 2026) (611 946 €) | Ak 4: Vauvaperheiden vanhemmuuden ja vuorovaikutuksen tukemiseen päiväryhmäryhmätoiminnan keinoin, uni- ja vuorovaikutusongelmiin keskittyvään neuvontaan, perhetapaamisiin ja ryhmätoimintaan sekä vapaaehtoisdoula-toiminnan koordinointiin erityistä tukea tarvitseville lapsiperheille (305 312 €)</t>
        </is>
      </c>
    </row>
    <row r="73">
      <c r="A73" s="2">
        <v>72</v>
      </c>
      <c r="B73" s="2">
        <v>289</v>
      </c>
      <c r="C73" t="inlineStr" s="0">
        <is>
          <t>Kalliolan Setlementti ry</t>
        </is>
      </c>
      <c r="D73" s="2">
        <v>916910.0</v>
      </c>
      <c r="E73" s="2">
        <v>648140.0</v>
      </c>
      <c r="F73" s="2">
        <v>268770.0</v>
      </c>
      <c r="G73" s="2">
        <v>70.7</v>
      </c>
      <c r="H73" s="2">
        <v>6</v>
      </c>
      <c r="I73" t="inlineStr" s="0">
        <is>
          <t>Ay 1037: Yleisavustuksena avustuksen saajan yleishyödylliseen toimintaan (268 770 €) | Ak 10: Pasilan alueen asukkaiden psyykkisen, fyysisen ja sosiaalisen hyvinvoinnin sekä alueellisen turvallisuuden ja hyvinvoinnin edistämiseen (Naapuruustalo Pasila) (179 437 €) | Ak 11: Rikosseuraamustaustaisten päihderiippuvaisten elämänhallinnan tukemiseen sekä päihdehaittojen ja uusintarikollisuuden vähentämiseen (Vahvasti tukien) (140 000 €) | Ak 5: Päihde- ja mielenterveystaustaisten elämänhallintaa ja osallisuutta vahvistavaan matalan kynnyksen kohtaamispaikkatoimintaan Espoossa (Askel-toiminta) (133 072 €) | Ak 12: Suur-Matinkylän alueen asukkaiden elämänlaadun ja osallisuuden vahvistamiseen, yksinäisyyden kokemuksen vähentämiseen sekä alueellisen turvallisuuden edistämiseen (Naapuruustalo Matinkylä) (125 631 €) | Ak 4: Vapaaehtois- ja kansalaistoiminnan koordinointiin eriarvoisuuden vähentämiseksi ja vapaaehtoisten osallisuuden ja toimijuuden vahvistamiseksi (2026) (70 000 €)</t>
        </is>
      </c>
    </row>
    <row r="74">
      <c r="A74" s="2">
        <v>73</v>
      </c>
      <c r="B74" s="2">
        <v>712</v>
      </c>
      <c r="C74" t="inlineStr" s="0">
        <is>
          <t>KUOPION ENSIKOTIYHDISTYS RY</t>
        </is>
      </c>
      <c r="D74" s="2">
        <v>912479.0</v>
      </c>
      <c r="E74" s="2">
        <v>874919.0</v>
      </c>
      <c r="F74" s="2">
        <v>37560.0</v>
      </c>
      <c r="G74" s="2">
        <v>95.9</v>
      </c>
      <c r="H74" s="2">
        <v>4</v>
      </c>
      <c r="I74" t="inlineStr" s="0">
        <is>
          <t>Ak 4: Vauvaperheitä tukevaan järjestölähtöiseen avopalvelutoimintaan (vauvaperheohjaus-, uniohjaus- ja vauvaperheryhmätoiminta sekä osallisuutta vahvistava vauvaperheiden kohtaamispaikka, vapaaehtoisdoula-toiminta erityistä tukea tarvitseville vauvaa odottaville perheille, kokemusasiantuntija- sekä vapaaehtoinen lastenhoitajatoiminta) (325 500 €) | Ak 5846: Vauvaperheiden päihteettömän ja turvallisen arjen vahvistamiseen sekä päihteiden aiheuttamien haittojen ehkäisemiseen vauvalle kohtaavan etsivän ja matalan kynnyksen työllä, ja yhteisöllisellä vertaisryhmä-, perhe- ja yksilötyöskentelyllä. Tavoitteena on tukea vauvan ja vanhemman välistä vuorovaikutusta sekä edistää vauvaperheiden osallisuutta. (Pidä kiinni –hoitojärjestelmän avopalveluyksikkö Amalia 2026) (287 300 €) | Ak 10302: Perheen tukemiseen eroa harkitessa tai erottaessa sekä lähisuhdeväkivallan ennaltaehkäisyyn, loppumiseen ja kokemuksista toipumiseen tarjoamalla tukea avopalvelun keinoin Pohjois-Savon alueella (Ero- ja väkivaltatyön avopalvelu) (262 119 €) | C 13781: Euroopan sosiaalirahasto plussan (ESR+) hankkeen "Arjen ymmärrys – Tukea vanhemmille neurokirjolla" osarahoitukseen järjestölle (2026-2027) (37 560 €)</t>
        </is>
      </c>
    </row>
    <row r="75">
      <c r="A75" s="2">
        <v>74</v>
      </c>
      <c r="B75" s="2">
        <v>867</v>
      </c>
      <c r="C75" t="inlineStr" s="0">
        <is>
          <t>PESÄPUU RY</t>
        </is>
      </c>
      <c r="D75" s="2">
        <v>910711.0</v>
      </c>
      <c r="E75" s="2">
        <v>724403.0</v>
      </c>
      <c r="F75" s="2">
        <v>186308.0</v>
      </c>
      <c r="G75" s="2">
        <v>79.5</v>
      </c>
      <c r="H75" s="2">
        <v>5</v>
      </c>
      <c r="I75" t="inlineStr" s="0">
        <is>
          <t>Ak 12231: Lastensuojelun asiakkaana olevien ja olleiden hyvinvoinnin, osallisuuden ja yhteisöllisyyden lisäämiseen, tukemiseen ja vahvistamiseen verkkovälitteisen tuen, vertaistuen, osallistumismuotojen ja vapaaehtoistoiminnan keinoin (Nuorten Turvasatama 2024-2026) (223 500 €) | Ak 4: Lastensuojelun sijaishuollon asiakkaana olevien lasten ja nuorten osallisuuden ja kokemusasiantuntijatoiminnan lisäämiseen ja vahvistamiseen lastensuojeluprosessien kehittämisessä sekä vaikuttamistyössä. (Salapoliisitoiminta, nuorten foorumit ja kehittäjäryhmät, Kirahvitoiminta) (221 101 €) | Ay 1110: Yleisavustuksena avustuksen saajan yleishyödylliseen toimintaan (186 308 €) | Ak 2501: Sijaishuollossa asuvien lasten ja nuorten varhaiskasvatuksen, koulunkäynnin sekä psyykkisen hyvinvoinnin tukemiseen ja syrjäytymisen ehkäisyyn  Sisukas-toimintamallin avulla. Tiedonkulun, ammattilaisten osaamisen ja sektorirajat ylittävän yhteistyön vahvistamiseen levittämällä, juurruttamalla ja yhteiskehittämällä Sisukas-toimintaa valtakunnallisesti. (184 117 €) | Ak 3: Lapsilähtöisyyden ja laadun edistämiseen lastensuojelussa ja perhehoidossa kehittämis-, kouluttamis- ja vaikuttamistoiminnan avulla (95 685 €)</t>
        </is>
      </c>
    </row>
    <row r="76">
      <c r="A76" s="2">
        <v>75</v>
      </c>
      <c r="B76" s="2">
        <v>801</v>
      </c>
      <c r="C76" t="inlineStr" s="0">
        <is>
          <t>PARASTA LAPSILLE RY</t>
        </is>
      </c>
      <c r="D76" s="2">
        <v>904750.0</v>
      </c>
      <c r="E76" s="2">
        <v>701142.0</v>
      </c>
      <c r="F76" s="2">
        <v>203608.0</v>
      </c>
      <c r="G76" s="2">
        <v>77.5</v>
      </c>
      <c r="H76" s="2">
        <v>4</v>
      </c>
      <c r="I76" t="inlineStr" s="0">
        <is>
          <t>Ak 2: Lasten lomatoimintaan (Parasta Lapsille ry ja paikallisyhdistykset) sekä valtakunnalliseen lasten ja perheiden toimintaan terveyden ja hyvinvoinnin edistämiseksi (483 372 €) | Ak 10413: Kriisiytymisuhassa olevien lasten ja perheiden tukeen strukturoidun lasten leiritoiminnan avulla (Näe hyvä mussa -toiminta) (207 270 €) | Ay 1: Yleisavustuksena avustuksen saajan yleishyödylliseen toimintaan (203 608 €) | Ak 5931: Jäsenjärjestöille kohdistettaviin avustuksiin (10 500 €)</t>
        </is>
      </c>
    </row>
    <row r="77">
      <c r="A77" s="2">
        <v>76</v>
      </c>
      <c r="B77" s="2">
        <v>242</v>
      </c>
      <c r="C77" t="inlineStr" s="0">
        <is>
          <t>Kuntoutussäätiö sr</t>
        </is>
      </c>
      <c r="D77" s="2">
        <v>902012.0</v>
      </c>
      <c r="E77" s="2">
        <v>421202.0</v>
      </c>
      <c r="F77" s="2">
        <v>480810.0</v>
      </c>
      <c r="G77" s="2">
        <v>46.7</v>
      </c>
      <c r="H77" s="2">
        <v>3</v>
      </c>
      <c r="I77" t="inlineStr" s="0">
        <is>
          <t>Ay 9: Yleisavustuksena avustuksen saajan yleishyödylliseen toimintaan (480 810 €) | Ak 4394: Oppimisen ja mielenterveyden ongelmia koskevan tiedon tuottamiseen, kokoamiseen ja levittämiseen, ammattilaisten tukemiseen sekä matalan kynnyksen tuen tarjoamiseen oppimisvaikeuksia ja mielenterveyden ongelmia kokeville henkilöille (277 753 €) | Ak 1527: Sosiaali- ja terveysalan järjestöjen oman toiminnan systemaattiseen kehittämiseen tukemalla järjestöjä arvioinnin kehittämisessä sekä vaikutusketjujen ja konkreettisten arviointi- ja seurantatyökalujen luomisessa (Artsi-toiminta - sosiaali- ja terveysalan järjestöjen oman toiminnan systemaattiseen arviointiin ja kehittämiseen) (143 449 €)</t>
        </is>
      </c>
    </row>
    <row r="78">
      <c r="A78" s="2">
        <v>77</v>
      </c>
      <c r="B78" s="2">
        <v>419</v>
      </c>
      <c r="C78" t="inlineStr" s="0">
        <is>
          <t>MANNERHEIMIN LASTENSUOJELULIITON UUDENMAAN PIIRI</t>
        </is>
      </c>
      <c r="D78" s="2">
        <v>849169.0</v>
      </c>
      <c r="E78" s="2">
        <v>849169.0</v>
      </c>
      <c r="F78" s="2">
        <v>0.0</v>
      </c>
      <c r="G78" s="2">
        <v>100.0</v>
      </c>
      <c r="H78" s="2">
        <v>3</v>
      </c>
      <c r="I78" t="inlineStr" s="0">
        <is>
          <t>Ak 2: Lapsiperheiden ja maahanmuuttajaäitien osallisuuden ja vanhemmuuden vahvistamiseen, yksinäisyyden vähentämiseen sekä lasten lukusujuvuuden parantamiseen ammatillisesti ohjatun tukihenkilötoiminnan keinoin (Perhekummi-, Ystäväksi maahanmuuttajaäidille- sekä mummi- ja vaaritoiminta) (445 339 €) | Ak 10194: Haavoittuvassa asemassa olevien lapsiperheiden vanhempien vanhemmuuden tukemiseen ammatillisesti ohjatun avoimen ryhmätoiminnan, monikulttuurisen ryhmätoiminnan, etsivän perhetyön ja yksilöohjauksen avulla. (204 750 €) | Ak 11317: Lapsiperheiden ennaltaehkäisevän tuen ja osallisuuden vahvistamiseen järjestämällä kaupungin ja järjestöjen yhdessä johtamaa ja ylläpitämää avointa kohtaamispaikkatoimintaa sekä kohtaamispaikkatoiminnan kehittämiseen Uudellamaalla. (199 080 €)</t>
        </is>
      </c>
    </row>
    <row r="79">
      <c r="A79" s="2">
        <v>78</v>
      </c>
      <c r="B79" s="2">
        <v>438</v>
      </c>
      <c r="C79" t="inlineStr" s="0">
        <is>
          <t>Kuurojen Palvelusäätiö (Dövas Servicestiftelse) sr</t>
        </is>
      </c>
      <c r="D79" s="2">
        <v>836900.0</v>
      </c>
      <c r="E79" s="2">
        <v>744500.0</v>
      </c>
      <c r="F79" s="2">
        <v>92400.0</v>
      </c>
      <c r="G79" s="2">
        <v>89.0</v>
      </c>
      <c r="H79" s="2">
        <v>4</v>
      </c>
      <c r="I79" t="inlineStr" s="0">
        <is>
          <t>Ak 4: Viittomakommunikaatiota käyttävien lasten perheiden kommunikaation ja vuorovaikutuksen tukemiseen vertaisperhekurssien, yksilö- ja ryhmätoimintojen sekä materiaalituotannon avulla (Juniori-ohjelma) (352 850 €) | Ak 17: Vaikeassa työmarkkina-asemassa olevien viittomakielisten kuurojen ja kuurosokeiden työelämävalmiuksien, työelämätaitojen, opiskelun ja arjenhallinnan edistämiseen viittomakielisen yksilö- ja ryhmämuotoisen työvalmennuksen ja verkostoyhteistyön avulla (Poveri) (304 500 €) | Ay 21: Yleisavustuksena avustuksen saajan yleishyödylliseen toimintaan (92 400 €) | Ak 12: Pitkäaikaissairaiden kuurojen, kuurosokeiden ja heidän läheistensä viittomakieliseen vertaisryhmätoimintaan, terveyteen ja hyvinvointiin liittyvään tukeen ja tiedonsaantiin sekä Viittomakielisen Auttavan Linjan toteuttamiseen (Passi) (87 150 €)</t>
        </is>
      </c>
    </row>
    <row r="80">
      <c r="A80" s="2">
        <v>79</v>
      </c>
      <c r="B80" s="2">
        <v>946</v>
      </c>
      <c r="C80" t="inlineStr" s="0">
        <is>
          <t>SATEENKAARIPERHEET RY</t>
        </is>
      </c>
      <c r="D80" s="2">
        <v>836377.0</v>
      </c>
      <c r="E80" s="2">
        <v>611593.0</v>
      </c>
      <c r="F80" s="2">
        <v>224784.0</v>
      </c>
      <c r="G80" s="2">
        <v>73.1</v>
      </c>
      <c r="H80" s="2">
        <v>4</v>
      </c>
      <c r="I80" t="inlineStr" s="0">
        <is>
          <t>Ak 6955: Perheiden monimuotoisuutta koskevan tiedon keräämiseen ja levittämiseen sekä vaikuttamistyöhön. Tavoitteena on perhemuotojen välinen yhdenvertaisuus ja kaikkien perheiden osallisuus yhteiskunnassa. (260 000 €) | Ay 1: Yleisavustuksena avustuksen saajan yleishyödylliseen toimintaan (224 784 €) | Ak 9803: Sateenkaariperheiden ja vanhemmuutta suunnittelevien sateenkaari-ihmisten hyvinvoinnin edistämiseen vertaistuella, koulutuksella, neuvonnalla ja asiantuntijatyöllä (178 500 €) | Ak 7534: Sateenkaari-ihmisten perhe- ja läheissuhteiden tukemiseen vertaistoiminnalla, yksilöllisellä tuella, tiedon tuottamisella ja jakamisella sekä koulutustoiminnalla (173 093 €)</t>
        </is>
      </c>
    </row>
    <row r="81">
      <c r="A81" s="2">
        <v>80</v>
      </c>
      <c r="B81" s="2">
        <v>1183</v>
      </c>
      <c r="C81" t="inlineStr" s="0">
        <is>
          <t>KUOPION SETLEMENTTI PUIJOLA RY</t>
        </is>
      </c>
      <c r="D81" s="2">
        <v>832852.0</v>
      </c>
      <c r="E81" s="2">
        <v>832852.0</v>
      </c>
      <c r="F81" s="2">
        <v>0.0</v>
      </c>
      <c r="G81" s="2">
        <v>100.0</v>
      </c>
      <c r="H81" s="2">
        <v>4</v>
      </c>
      <c r="I81" t="inlineStr" s="0">
        <is>
          <t>Ak 3: Maahanmuuttajien osallisuutta, yhteisöllisyyttä ja kaksisuuntaista kotoutumista edistävään toimintaan (Kompassi) (294 052 €) | Ak 7: Erityistä tukea tarvitsevien tyttöjen, nuorten naisten ja sukupuoli-identiteettiään pohtivien hyvinvoinnin ja osallisuuden tukemiseen, seksuaaliterveyden edistämiseen sekä seksuaaliväkivaltatyöhön (220 000 €) | Ak 6: Järjestölähtöiseen yksilö- ja ryhmämuotoiseen tukitoimintaan rikostaustaisten ja heidän läheistensä parissa (Tukikeskus Mahku) (163 800 €) | Ak 4087: Kodin ulkopuoliseen väkivaltaan syyllistyneiden tai syyllistymisriskissä olevien väkivaltaisen käyttäytymisen vähentämiseen ja ehkäisemiseen yksilöllisen asiakastyön ja verkostotyön avulla (Aggredi Kuopio) (155 000 €)</t>
        </is>
      </c>
    </row>
    <row r="82">
      <c r="A82" s="2">
        <v>81</v>
      </c>
      <c r="B82" s="2">
        <v>895</v>
      </c>
      <c r="C82" t="inlineStr" s="0">
        <is>
          <t>SYÖMISHÄIRIÖLIITTO - SYLI RY</t>
        </is>
      </c>
      <c r="D82" s="2">
        <v>807680.0</v>
      </c>
      <c r="E82" s="2">
        <v>470000.0</v>
      </c>
      <c r="F82" s="2">
        <v>337680.0</v>
      </c>
      <c r="G82" s="2">
        <v>58.2</v>
      </c>
      <c r="H82" s="2">
        <v>2</v>
      </c>
      <c r="I82" t="inlineStr" s="0">
        <is>
          <t>Ak 1196: Syömishäiriöön sairastuneiden ja vapaaehtoisena toimivien hyvinvoinnin tukemiseen matalan kynnyksen toiminnalla Itä- ja Kaakkois-Suomessa, Pohjois-Suomessa ja Sisä-Suomen alueella sekä syömishäiriöön sairastuneiden läheisten tukemiseen valtakunnallisesti sähköisten tukipalveluiden avulla (470 000 €) | Ay 1: Yleisavustuksena avustuksen saajan yleishyödylliseen toimintaan (337 680 €)</t>
        </is>
      </c>
    </row>
    <row r="83">
      <c r="A83" s="2">
        <v>82</v>
      </c>
      <c r="B83" s="2">
        <v>405</v>
      </c>
      <c r="C83" t="inlineStr" s="0">
        <is>
          <t>MARIA AKATEMIA YHDISTYS RY</t>
        </is>
      </c>
      <c r="D83" s="2">
        <v>806223.0</v>
      </c>
      <c r="E83" s="2">
        <v>627770.0</v>
      </c>
      <c r="F83" s="2">
        <v>178453.0</v>
      </c>
      <c r="G83" s="2">
        <v>77.9</v>
      </c>
      <c r="H83" s="2">
        <v>2</v>
      </c>
      <c r="I83" t="inlineStr" s="0">
        <is>
          <t>Ak 1: Naisten ja nuorten naisten käyttämän väkivallan ja ylisukupolvisen väkivallan ehkäisyyn lähi- ja verkkotoimintana, yksilö-, pariskunta- ja ryhmätoiminnan sekä ammattilaisille suunnatun toiminnan keinoin. Kohderyhmät 15 ikävuodesta alkaen. (627 770 €) | Ay 2675: Yleisavustuksena avustuksen saajan yleishyödylliseen toimintaan (178 453 €)</t>
        </is>
      </c>
    </row>
    <row r="84">
      <c r="A84" s="2">
        <v>83</v>
      </c>
      <c r="B84" s="2">
        <v>1079</v>
      </c>
      <c r="C84" t="inlineStr" s="0">
        <is>
          <t>PSORIASISLIITTO RY</t>
        </is>
      </c>
      <c r="D84" s="2">
        <v>806010.0</v>
      </c>
      <c r="E84" s="2">
        <v>259000.0</v>
      </c>
      <c r="F84" s="2">
        <v>547010.0</v>
      </c>
      <c r="G84" s="2">
        <v>32.1</v>
      </c>
      <c r="H84" s="2">
        <v>3</v>
      </c>
      <c r="I84" t="inlineStr" s="0">
        <is>
          <t>Ay 1: Yleisavustuksena avustuksen saajan yleishyödylliseen toimintaan (547 010 €) | Ak 9: Vertaisuutta korostavaan ryhmämuotoiseen tukeen internaatti-, avo- ja verkkokurssien avulla  - perheille, joissa on psoriasista sairastava 5–15-vuotias lapsi,  - työikäisille iho- tai nivelpsoriasista sairastaville ja heidän läheisilleen ja - yli 60-vuotiaille eläkkeellä oleville psoriasista sairastaville (210 000 €) | Ak 16: Jäsenjärjestöille kohdistettaviin avustuksiin (49 000 €)</t>
        </is>
      </c>
    </row>
    <row r="85">
      <c r="A85" s="2">
        <v>84</v>
      </c>
      <c r="B85" s="2">
        <v>497</v>
      </c>
      <c r="C85" t="inlineStr" s="0">
        <is>
          <t>Hyvän mielen talo ry</t>
        </is>
      </c>
      <c r="D85" s="2">
        <v>803638.0</v>
      </c>
      <c r="E85" s="2">
        <v>540550.0</v>
      </c>
      <c r="F85" s="2">
        <v>263088.0</v>
      </c>
      <c r="G85" s="2">
        <v>67.3</v>
      </c>
      <c r="H85" s="2">
        <v>4</v>
      </c>
      <c r="I85" t="inlineStr" s="0">
        <is>
          <t>Ak 7: Mielenterveyskuntoutujien, psyykkisesti kuormittuneiden nuorten aikuisten sekä omaisten matalan kynnyksen kohtaamispaikka-, vertais- ja vapaaehtoistoimintaan Oulussa (315 550 €) | Ay 1998: Yleisavustuksena avustuksen saajan yleishyödylliseen toimintaan (263 088 €) | Ak 10605: Psyykkistä kuormitusta kokeneiden lapsiperheiden hyvinvoinnin parantamiseen yksilöllisellä tuella, vertaistuella ja kohtaamispaikkatoiminnalla Oulussa (115 000 €) | Ak 7331: Mielenterveyskuntoutujien kokemusasiantuntija- ja vertaistoiminnan vahvistamiseen koulutuksilla sekä kokemustiedon levittämiseen Oulussa (110 000 €)</t>
        </is>
      </c>
    </row>
    <row r="86">
      <c r="A86" s="2">
        <v>85</v>
      </c>
      <c r="B86" s="2">
        <v>414</v>
      </c>
      <c r="C86" t="inlineStr" s="0">
        <is>
          <t>VUOLLE SETLEMENTTI RY</t>
        </is>
      </c>
      <c r="D86" s="2">
        <v>802817.0</v>
      </c>
      <c r="E86" s="2">
        <v>802817.0</v>
      </c>
      <c r="F86" s="2">
        <v>0.0</v>
      </c>
      <c r="G86" s="2">
        <v>100.0</v>
      </c>
      <c r="H86" s="2">
        <v>5</v>
      </c>
      <c r="I86" t="inlineStr" s="0">
        <is>
          <t>Ak 3: Yksinäisten, sosiaalisesti syrjäytyneiden, maahanmuuttajataustaisten, psyykkisesti oireilevien, seksuaalisuutta loukkaavaa väkivaltaa kohdanneiden sekä muiden erityistä tukea tarvitsevien tyttöjen ja nuorten naisten hyvinvoinnin, elämänhallinnan ja yhteisöllisyyden vahvistamiseen matalankynnyksen toiminnoilla sekä ryhmä- ja yksilötuella (Vuolle Tyttöjen Talo, Oulu) (219 258 €) | Ak 3175: Kodin ulkopuoliseen väkivaltaan syyllistyneiden tai syyllistymisriskissä olevien väkivaltaisen käyttäytymisen vähentämiseen ja ehkäisemiseen yksilöllisen asiakastyön ja verkostotyön avulla (Aggredi Pohjois-Suomi) (173 513 €) | Ak 3174: Yksinäisten, ulkopuoliseksi itsensä kokevien, kiusattujen, maahanmuuttajataustaisten, seksuaalista väkivaltaa kohdanneiden sekä muiden erityistä tukea tarvitsevien poikien ja sukupuolensa moninaisesti kokevien nuorten osallisuuden ja sosiaalisten taitojen vahvistamiseen matalan kynnyksen toiminnalla sekä ryhmä- ja yksilötuella (Vuolle Poikien Talo, Oulu) (165 375 €) | Ak 2: Maahanmuuttajien ja valtaväestön kaksissuuntaista kotoutumista edistävään monikulttuuriseen matalan kynnyksen olohuonetoimintaan, ryhmämuotoiseen toimintaan, vapaaehtoistoimintaan, leiri- ja retkitoimintaan sekä yksilölliseen tukeen ja koulutuksiin (Monikulttuurinen Ystävyystalo) (124 580 €) | Ak 4: Alueellisen vapaaehtoistoiminnan tukemiseen, kehittämiseen ja alueellisen yhteistyön koordinointiin kansalaisyhteiskunnan toimivuuden vahvistamiseksi (Vapaaehtoistoiminnan resurssikeskus VARES, Vares-verkosto) (120 091 €)</t>
        </is>
      </c>
    </row>
    <row r="87">
      <c r="A87" s="2">
        <v>86</v>
      </c>
      <c r="B87" s="2">
        <v>690</v>
      </c>
      <c r="C87" t="inlineStr" s="0">
        <is>
          <t>LAPIN ENSI- JA TURVAKOTI RY</t>
        </is>
      </c>
      <c r="D87" s="2">
        <v>782699.0</v>
      </c>
      <c r="E87" s="2">
        <v>782699.0</v>
      </c>
      <c r="F87" s="2">
        <v>0.0</v>
      </c>
      <c r="G87" s="2">
        <v>100.0</v>
      </c>
      <c r="H87" s="2">
        <v>4</v>
      </c>
      <c r="I87" t="inlineStr" s="0">
        <is>
          <t>Ak 9: Aikuisten, lasten ja nuorten lähisuhteisiin, lähisuhdeväkivaltaan ja perheen sisäiseen vuorovaikutukseen liittyvien ongelmien ehkäisyyn sekä niistä selviytymiseen yksilö-, pari- ja perhetapaamisten sekä ryhmätoiminnan keinoin (Lähisuhde- ja väkivaltatyön avopalvelu) (247 144 €) | Ak 6312: Lasta odottavien sekä vauva- ja pikkulapsiperheiden tukeen ja neuvontaan kuormittavissa vanhemmuuden haasteissa, jotka voivat liittyä esimerkiksi yksinäisyyteen, päihteiden käyttöön perheissä tai vanhemman omiin vaikeisiin lapsuuden kokemuksiin. Tavoitteena on tukea vanhemmuutta sekä lapsen ja vanhemman välistä vuorovaikutusta ja turvallista arkea, edistää lapsiperheiden osallisuutta sekä ennaltaehkäistä ylisukupolvisia haasteita yksilöllisen tuen, vertaisryhmä- sekä vapaaehtoistoiminnan avulla (Avopalveluyksikkö Tuulia 2026) (203 342 €) | Ak 8: Järjestölähtöiseen kriisi- ja mielenterveystyöhön vaikeissa elämäntilanteissa oleville tarjoamalla matalan kynnyksen keskusteluapua, ammatillisesti ohjattuja ryhmiä Lapin hyvinvointialueella, tukihenkilötoimintaan sekä vapaaehtoisten koulutukseen ja koordinointiin sekä tiedottamiseen toiminnasta ja tapahtumien järjestämiseen (Lapin ensi- ja turvakoti ry:n kriisikeskus) (200 899 €) | Ak 4: Lasta odottavien, vauva- ja pikkulapsiperheiden vanhempien tukeen sekä neuvontaan odotusajan, vauvan uni- ja vuorokausirytmin, lasten ja vanhempien välisen vuorovaikutus- ja kiintymyssuhteen sekä kuormittavan perhe-elämän haasteissa yksilöllisen tuen, vertaisryhmä- sekä vapaaehtoistoiminnan avulla (131 314 €)</t>
        </is>
      </c>
    </row>
    <row r="88">
      <c r="A88" s="2">
        <v>87</v>
      </c>
      <c r="B88" s="2">
        <v>887</v>
      </c>
      <c r="C88" t="inlineStr" s="0">
        <is>
          <t>MARTTALIITTO RY</t>
        </is>
      </c>
      <c r="D88" s="2">
        <v>775488.0</v>
      </c>
      <c r="E88" s="2">
        <v>775488.0</v>
      </c>
      <c r="F88" s="2">
        <v>0.0</v>
      </c>
      <c r="G88" s="2">
        <v>100.0</v>
      </c>
      <c r="H88" s="2">
        <v>3</v>
      </c>
      <c r="I88" t="inlineStr" s="0">
        <is>
          <t>Ak 4: Päihde- ja mielenterveyskuntoutujien sekä rikosseuraamusasiakkaiden arjen ja sosiaalisten taitojen vahvistaminen marttapiirien asiantuntijoiden tarjoaman kotitalousneuvonnan sekä Marttaliiton tuen ja hallinnon avulla (Arki sujuvaksi) (508 873 €) | Ak 2485: Pikkulapsiperheiden arjen taitojen ja hyvinvoinnin vahvistamiseen marttapiirien asiantuntijoiden tarjoamalla kotitalousneuvonnalla ja Marttaliiton piireille tarjoamalla hallinnollisella tuella (Lapsiperheiden arjen tukeminen) (159 544 €) | Ak 9554: Ikäihmisten arjen tukemiseen ja hyvinvoinnin edistämiseen marttapiirien koordinoimalla ja Marttaliiton hallinnoimalla vapaaehtoistoiminnalla (VILPPU) (107 071 €)</t>
        </is>
      </c>
    </row>
    <row r="89">
      <c r="A89" s="2">
        <v>88</v>
      </c>
      <c r="B89" s="2">
        <v>1023</v>
      </c>
      <c r="C89" t="inlineStr" s="0">
        <is>
          <t>Keliakialiitto ry</t>
        </is>
      </c>
      <c r="D89" s="2">
        <v>768178.0</v>
      </c>
      <c r="E89" s="2">
        <v>203093.0</v>
      </c>
      <c r="F89" s="2">
        <v>565085.0</v>
      </c>
      <c r="G89" s="2">
        <v>26.4</v>
      </c>
      <c r="H89" s="2">
        <v>3</v>
      </c>
      <c r="I89" t="inlineStr" s="0">
        <is>
          <t>Ay 1: Yleisavustuksena avustuksen saajan yleishyödylliseen toimintaan (565 085 €) | Ak 2: Keliakiaan sopeutumista ja gluteenittoman ruokavaliohoidon toteutusta tukevaan ammatillisesti ohjattuun, vertaistuelliseen ja tavoitteelliseen ryhmämuotoiseen toimintaan. Kohderyhminä keliakia- tai ihokeliakiadiagnoosin saaneet ja heidän läheisensä sekä he, jotka noudattavat gluteenitonta ruokavaliota ilman keliakiadiagnoosia. (173 093 €) | Ak 2393: Jäsenjärjestöille kohdistettaviin avustuksiin (30 000 €)</t>
        </is>
      </c>
    </row>
    <row r="90">
      <c r="A90" s="2">
        <v>89</v>
      </c>
      <c r="B90" s="2">
        <v>493</v>
      </c>
      <c r="C90" t="inlineStr" s="0">
        <is>
          <t>Sovatek säätiö sr</t>
        </is>
      </c>
      <c r="D90" s="2">
        <v>758000.0</v>
      </c>
      <c r="E90" s="2">
        <v>758000.0</v>
      </c>
      <c r="F90" s="2">
        <v>0.0</v>
      </c>
      <c r="G90" s="2">
        <v>100.0</v>
      </c>
      <c r="H90" s="2">
        <v>3</v>
      </c>
      <c r="I90" t="inlineStr" s="0">
        <is>
          <t>Ak 1914: Pelihaittojen ja haitallisen internetin käytön ehkäisyn ja hoidon kehittämiseen (Pelituki) (317 000 €) | Ak 1912: Korvaushoidon asiakkaiden, päihdekuntoutujien ja rikosseuraamusasiakkaiden osallisuuden vahvistamiseen matalan kynnyksen kohtaamispaikan sekä vertais- ja vapaaehtoistoiminnan avulla (Kaista) (220 500 €) | Ak 11334: Päihteidenkäyttäjien osallisuutta, palveluihin ohjautumista ja hyvinvointia lisäävän matalan kynnyksen kohtaamispaikan ylläpitoon (220 500 €)</t>
        </is>
      </c>
    </row>
    <row r="91">
      <c r="A91" s="2">
        <v>90</v>
      </c>
      <c r="B91" s="2">
        <v>549</v>
      </c>
      <c r="C91" t="inlineStr" s="0">
        <is>
          <t>OULUN ENSI- JA TURVAKOTI RY</t>
        </is>
      </c>
      <c r="D91" s="2">
        <v>756783.0</v>
      </c>
      <c r="E91" s="2">
        <v>756783.0</v>
      </c>
      <c r="F91" s="2">
        <v>0.0</v>
      </c>
      <c r="G91" s="2">
        <v>100.0</v>
      </c>
      <c r="H91" s="2">
        <v>4</v>
      </c>
      <c r="I91" t="inlineStr" s="0">
        <is>
          <t>Ak 7: Lähisuhdeväkivallan ennaltaehkäisyyn ja väkivaltaa kokeneiden selviytymisen tukemiseen sekä väkivaltaa käyttäneiden väkivaltaisen käytöksen katkaisuun yksilö-, pari- ja perhetapaamisten, vanhemmuutta tukeviin tapaamisten sekä ryhmämuotoissen avokriisityön keinoin. Toiminta kohdistuu lähisuhdeväkivallan kaikkien osapuolten tukemiseen, myös lasten ja nuorten. Lähisuhdeväkivallan vastaiseen vaikuttamistyöhön. (Avokriisityö) (258 139 €) | Ak 10: Vauvaperheiden vanhemmuuden ja vuorovaikutuksen tukemiseen sekä pitkäkestoisen stressin vähentämiseen intensiivisen suljetun ryhmätoiminnan, yksilöllisen neuvonnan ja ohjauksen sekä kaikille vauvaperheille avoimen ryhmätoiminnan keinoin. Vapaaehtoisdoula-toimintaan erityistä tukea tarvitseville vauvaperheille sekä vertaisohjaajien koulutukseen. (Vauvatalo) (194 164 €) | Ak 7756: Seksuaalirikosten ennaltaehkäisyyn  ja vähentämiseen seksuaalirikostaustaisten, potentiaalisten tekijöiden ja heidän läheisilleen kohdistuvalla matalan kynnyksen palvelulla Oulun alueella (SERITA) (155 400 €) | Ak 3: Lapsiperheiden hyvinvointia tukevaan järjestölähtöiseen avopalvelutoimintaan  (Mieskaveri-, Ero lapsiperheessä- ja vertaisryhmätoiminnat sekä nettiauttaminen) (149 080 €)</t>
        </is>
      </c>
    </row>
    <row r="92">
      <c r="A92" s="2">
        <v>91</v>
      </c>
      <c r="B92" s="2">
        <v>775</v>
      </c>
      <c r="C92" t="inlineStr" s="0">
        <is>
          <t>KYMENLAAKSON ENSI- JA TURVAKOTIYHDISTYS RY</t>
        </is>
      </c>
      <c r="D92" s="2">
        <v>752932.0</v>
      </c>
      <c r="E92" s="2">
        <v>752932.0</v>
      </c>
      <c r="F92" s="2">
        <v>0.0</v>
      </c>
      <c r="G92" s="2">
        <v>100.0</v>
      </c>
      <c r="H92" s="2">
        <v>4</v>
      </c>
      <c r="I92" t="inlineStr" s="0">
        <is>
          <t>Ak 5739: Vauvaperheiden päihteettömän ja turvallisen arjen vahvistamiseen sekä päihteiden aiheuttamien haittojen ehkäisemiseen vauvalle kohtaavan etsivän ja matalan kynnyksen työllä, ja yhteisöllisellä vertaisryhmä-, perhe- ja yksilötyöskentelyllä. Tavoitteena on tukea vauvan ja vanhemman välistä vuorovaikutusta sekä edistää vauvaperheiden osallisuutta. (Pidä kiinni -hoitojärjestelmän avopalvelu Nuppu, Kymenlaakso 2026) (315 000 €) | Ak 8: Perheiden syrjäytymisen ehkäisemiseen ja voimavarojen lisäämiseen sekä lapsen ja vanhemman välisen vuorovaikutuksen vahvistamiseen yksilö-, ryhmä-, vapaaehtois- ja vertaistoiminnan keinoin (Vauvaperheohjaus Pulmu, Ero lapsiperheessä -työ, lasten yökylä- ja tenavatupatoiminta, vapaaehtoisdoula-toiminta erityistä tukea tarvitseville lapsiperheille, ryhmätoiminnat, leirit ja tapahtumat) (189 630 €) | Ak 11: Yksilö-, pari-, perhe- ja ryhmämuotoiseen avokriisityöhön perhe- ja lähisuhdeväkivallan uhrien, tekijöiden ja väkivallalle altistuneiden lasten, nuorten ja aikuisten kanssa (Väkivaltatyön palvelukeskus Pysäkki) (159 000 €) | Ak 9: Vauvaperheiden vanhemmuuden ja vuorovaikutuksen ryhmämuotoiseen tukemiseen (Vauvaperheryhmä Untuva) (89 302 €)</t>
        </is>
      </c>
    </row>
    <row r="93">
      <c r="A93" s="2">
        <v>92</v>
      </c>
      <c r="B93" s="2">
        <v>1055</v>
      </c>
      <c r="C93" t="inlineStr" s="0">
        <is>
          <t>Romano Missio ry</t>
        </is>
      </c>
      <c r="D93" s="2">
        <v>749447.0</v>
      </c>
      <c r="E93" s="2">
        <v>563125.0</v>
      </c>
      <c r="F93" s="2">
        <v>186322.0</v>
      </c>
      <c r="G93" s="2">
        <v>75.1</v>
      </c>
      <c r="H93" s="2">
        <v>3</v>
      </c>
      <c r="I93" t="inlineStr" s="0">
        <is>
          <t>Ak 2872: Rikostaustaisille romaneille suunnattuun kulttuurilähtöiseen tukeen ja kuntoutumista edistävään toimintaan vankeusaikana, vapautumisen nivelvaiheissa sekä jälkitukena: Naisten Kulma-tukipisteet, vankilatyön ja VOIVA sekä VOITTO-toimintamallien koordinointi, tukihenkilötoiminta, kouluttaminen ja edunvalvonta. Euroopan sosiaalirahaston rakennerahasto-ohjelmanhankkeen "Aktiivinen toimijuus" osarahoitukseen järjestölle (2024-2026) (378 325 €) | Ay 1: Yleisavustuksena avustuksen saajan yleishyödylliseen toimintaan (186 322 €) | Ak 11220: Romaninuorten tukemiseen omien voimavarojen ja vahvuuksien löytämiseksi jalkautuvan työn, yksilötyön ja ryhmämuotoisen toiminnan keinoin (Terne Apre - Nuorten vuoro) (184 800 €)</t>
        </is>
      </c>
    </row>
    <row r="94">
      <c r="A94" s="2">
        <v>93</v>
      </c>
      <c r="B94" s="2">
        <v>1126</v>
      </c>
      <c r="C94" t="inlineStr" s="0">
        <is>
          <t>SUOMEN SOVITTELUFOORUMI RY</t>
        </is>
      </c>
      <c r="D94" s="2">
        <v>744438.0</v>
      </c>
      <c r="E94" s="2">
        <v>744438.0</v>
      </c>
      <c r="F94" s="2">
        <v>0.0</v>
      </c>
      <c r="G94" s="2">
        <v>100.0</v>
      </c>
      <c r="H94" s="2">
        <v>2</v>
      </c>
      <c r="I94" t="inlineStr" s="0">
        <is>
          <t>Ak 3: Lasten ja nuorten kokeman kiusaamisen ja häiriökäyttäytymisen vähentämiseen ja havaittujen tilanteiden käsittelyyn päiväkodeissa, kouluissa ja oppilaitoksissa. Vertaissovittelutoiminnan ja siihen liittyvän oppilaiden ja henkilökunnan vapaaehtoisen sovittelutyön ja restoratiivisen toiminnan tukemiseen koulutusten ja tiedottamisen kautta  (VERSO-ohjelma) (498 580 €) | Ak 6476: Asukkaiden konfliktien ennaltaehkäisemiseen sekä riitojen ratkaisemiseen asumiseen liittyvissä tilanteissa naapuruussovittelun ja naapurustotyön avulla. Asumisen toimijoiden sovitteluosaamisen lisäämiseen sekä asukkaiden yhteisöllisyyden lisäämiseen valtakunnallisten koulutusten avulla  (Asumisrauhan keskus) (245 858 €)</t>
        </is>
      </c>
    </row>
    <row r="95">
      <c r="A95" s="2">
        <v>94</v>
      </c>
      <c r="B95" s="2">
        <v>215</v>
      </c>
      <c r="C95" t="inlineStr" s="0">
        <is>
          <t>IRTI HUUMEISTA RY</t>
        </is>
      </c>
      <c r="D95" s="2">
        <v>733720.0</v>
      </c>
      <c r="E95" s="2">
        <v>391000.0</v>
      </c>
      <c r="F95" s="2">
        <v>342720.0</v>
      </c>
      <c r="G95" s="2">
        <v>53.3</v>
      </c>
      <c r="H95" s="2">
        <v>4</v>
      </c>
      <c r="I95" t="inlineStr" s="0">
        <is>
          <t>Ay 1: Yleisavustuksena avustuksen saajan yleishyödylliseen toimintaan (342 720 €) | Ak 3: Huumeita käyttävien henkilöiden läheisten, huumeita käyttävien ja toipuvien vapaaehtois- ja vertaistoiminnalla toteuttavaan matalan kynnyksen tukeen sekä vapaaehtois- ja vertaistoiminnan koordinaatioon (170 000 €) | Ak 11324: Turvallisuuden tunteen, osallisuuden ja päihteettömyyden vahvistamiseen julkisiin tiloihin jalkautuvan Huudikoutsi-toiminnan avulla (126 000 €) | Ak 11245: Huumeita käyttävien henkilöiden, toipuvien ja heidän läheistensä voimavarojen ja toimintakyvyn lisäämiseen kynnyksettömällä kriisituella ja vertaisryhmätoiminnalla (95 000 €)</t>
        </is>
      </c>
    </row>
    <row r="96">
      <c r="A96" s="2">
        <v>95</v>
      </c>
      <c r="B96" s="2">
        <v>362</v>
      </c>
      <c r="C96" t="inlineStr" s="0">
        <is>
          <t>FDUV, förbundet för personer med utvecklingsstörning eller annan intellektuell funktionsnedsättning</t>
        </is>
      </c>
      <c r="D96" s="2">
        <v>730038.0</v>
      </c>
      <c r="E96" s="2">
        <v>394243.0</v>
      </c>
      <c r="F96" s="2">
        <v>335795.0</v>
      </c>
      <c r="G96" s="2">
        <v>54.0</v>
      </c>
      <c r="H96" s="2">
        <v>4</v>
      </c>
      <c r="I96" t="inlineStr" s="0">
        <is>
          <t>Ay 1: Som allmänt understöd för understödstagarens allmännyttiga verksamhet (335 795 €) | Ak 3: För att stöda personer som har svårt att läsa eller förstå allmänspråk och öka deras tillgång till samhällsinformation och litteratur med hjälp av att producera och sprida lättläst material samt genom att främja högläsning inom omsorgen  (LL-Center - lätt språk och läsombudsverksamhet) (156 440 €) | Ak 10171: För stöd till familjer med barn, unga eller vuxna med intellektuell funktionsnedsättning med hjälp av kamratstöd, lokal förenings- och frivilligverksamhet samt genom att främja delaktighet i serviceprocesser (139 732 €) | Ak 3333: För att stöda självbestämmande, medvetande av rättigheter och inflytande i samhället hos svenskspråkiga personer med intellektuell funktionsnedsättning  (Steg för steg - för ett självständigt liv) (98 071 €)</t>
        </is>
      </c>
    </row>
    <row r="97">
      <c r="A97" s="2">
        <v>96</v>
      </c>
      <c r="B97" s="2">
        <v>601</v>
      </c>
      <c r="C97" t="inlineStr" s="0">
        <is>
          <t>SAMI SOSTER RY</t>
        </is>
      </c>
      <c r="D97" s="2">
        <v>728355.0</v>
      </c>
      <c r="E97" s="2">
        <v>425591.0</v>
      </c>
      <c r="F97" s="2">
        <v>302764.0</v>
      </c>
      <c r="G97" s="2">
        <v>58.4</v>
      </c>
      <c r="H97" s="2">
        <v>3</v>
      </c>
      <c r="I97" t="inlineStr" s="0">
        <is>
          <t>Ay 4: Yleisavustuksena avustuksen saajan yleishyödylliseen toimintaan (302 764 €) | Ak 5: Ikäihmisten toimintakyvyn ylläpitämiseen, aivoterveyden edistämiseen ja muistisairaiden kotona pärjäämisen tukemiseen matalan kynnyksen kohtaamispaikoilla, ryhmätoiminnalla vertaistuella ja etsivällä kotikäyntityöllä sekä verkostotyöllä (Birgen ruovttus - Pärjään kotona) (270 139 €) | Ak 7: Päihteiden riskikäyttäjien päihteidenkäytön vähentämiseen ja elämänhallinnan vahvistamiseen asiakkaiden omassa toimintaympäristössä luontoa hyödyntävällä kulttuurisensitiivisellä ryhmätoiminnallla sekä yksilötapaamisilla  (Meacceterapija- Mettäterapija) (155 452 €)</t>
        </is>
      </c>
    </row>
    <row r="98">
      <c r="A98" s="2">
        <v>97</v>
      </c>
      <c r="B98" s="2">
        <v>121</v>
      </c>
      <c r="C98" t="inlineStr" s="0">
        <is>
          <t>VANHUS- JA LÄHIMMÄISPALVELUN LIITTO RY</t>
        </is>
      </c>
      <c r="D98" s="2">
        <v>724788.0</v>
      </c>
      <c r="E98" s="2">
        <v>213150.0</v>
      </c>
      <c r="F98" s="2">
        <v>511638.0</v>
      </c>
      <c r="G98" s="2">
        <v>29.4</v>
      </c>
      <c r="H98" s="2">
        <v>3</v>
      </c>
      <c r="I98" t="inlineStr" s="0">
        <is>
          <t>Ay 1: Yleisavustuksena avustuksen saajan yleishyödylliseen toimintaan (511 638 €) | Ak 2345: Etsivän vanhustyön yhteiskehittämisen ja verkostojen välisen yhteistyön koordinointiin. Etsivän vanhustyön menetelmien levittämiseen ja juurruttamiseen sekä osaamisen vahvistamiseen. (Etsivän vanhustyön verkostokeskus) (187 425 €) | Ak 4042: Heikoimmassa työmarkkina-asemassa, työelämän ja koulutuksen ulkopuolella olevien sekä opintojen nivelvaiheessa olevien nuorten työelämävalmiuksien sekä sukupolvien välisen yhteyden vahvistamiseen (Vanhustyön Trainee nuorille) (25 725 €)</t>
        </is>
      </c>
    </row>
    <row r="99">
      <c r="A99" s="2">
        <v>98</v>
      </c>
      <c r="B99" s="2">
        <v>474</v>
      </c>
      <c r="C99" t="inlineStr" s="0">
        <is>
          <t>FINFAMI - UUSIMAA RY</t>
        </is>
      </c>
      <c r="D99" s="2">
        <v>719426.0</v>
      </c>
      <c r="E99" s="2">
        <v>719426.0</v>
      </c>
      <c r="F99" s="2">
        <v>0.0</v>
      </c>
      <c r="G99" s="2">
        <v>100.0</v>
      </c>
      <c r="H99" s="2">
        <v>1</v>
      </c>
      <c r="I99" t="inlineStr" s="0">
        <is>
          <t>Ak 5: Mielenterveysomaisten osallisuuden ja toimintakyvyn vahvistamiseen henkilökohtaisen tuen ja neuvonnan, vertaistuen ja muun ryhmätoiminnan sekä paikallisen vaikuttamisen avulla Uudenmaan alueella (719 426 €)</t>
        </is>
      </c>
    </row>
    <row r="100">
      <c r="A100" s="2">
        <v>99</v>
      </c>
      <c r="B100" s="2">
        <v>629</v>
      </c>
      <c r="C100" t="inlineStr" s="0">
        <is>
          <t>Autismiliitto ry, Autism Finland rf</t>
        </is>
      </c>
      <c r="D100" s="2">
        <v>689456.0</v>
      </c>
      <c r="E100" s="2">
        <v>197300.0</v>
      </c>
      <c r="F100" s="2">
        <v>492156.0</v>
      </c>
      <c r="G100" s="2">
        <v>28.6</v>
      </c>
      <c r="H100" s="2">
        <v>3</v>
      </c>
      <c r="I100" t="inlineStr" s="0">
        <is>
          <t>Ay 1: Yleisavustuksena avustuksen saajan yleishyödylliseen toimintaan (492 156 €) | Ak 4224: Autismiliiton vertais- ja kokemustoiminnan (VEKO-toiminnan) koordinointiin ja kehittämiseen. Toiminta sisältää vertaisosaaja- ja kokemustoiminnan,  vertaisryhmäohjaajakoulutuksen sekä verkkovertaisryhmät. (132 300 €) | Ak 7: Jäsenjärjestöille kohdistettaviin avustuksiin (65 000 €)</t>
        </is>
      </c>
    </row>
    <row r="101">
      <c r="A101" s="2">
        <v>100</v>
      </c>
      <c r="B101" s="2">
        <v>77</v>
      </c>
      <c r="C101" t="inlineStr" s="0">
        <is>
          <t>SUOMEN ICEHEARTS RY</t>
        </is>
      </c>
      <c r="D101" s="2">
        <v>689000.0</v>
      </c>
      <c r="E101" s="2">
        <v>348600.0</v>
      </c>
      <c r="F101" s="2">
        <v>340400.0</v>
      </c>
      <c r="G101" s="2">
        <v>50.6</v>
      </c>
      <c r="H101" s="2">
        <v>2</v>
      </c>
      <c r="I101" t="inlineStr" s="0">
        <is>
          <t>Ak 1: Icehearts-toiminnan tukipalvelujen toteuttamiseen ja kehittämiseen paikallisyhdistyksille ja Icehearts-toimialueiden joukkueille/kasvattajille painopisteenä kasvattajien tuki ja koulutus sekä verkostotyön tukeminen (348 600 €) | Ay 2652: Yleisavustuksena avustuksen saajan yleishyödylliseen toimintaan (340 400 €)</t>
        </is>
      </c>
    </row>
    <row r="102">
      <c r="A102" s="2">
        <v>101</v>
      </c>
      <c r="B102" s="2">
        <v>1053</v>
      </c>
      <c r="C102" t="inlineStr" s="0">
        <is>
          <t>MIELI Lounais-Suomen mielenterveys ry</t>
        </is>
      </c>
      <c r="D102" s="2">
        <v>688916.0</v>
      </c>
      <c r="E102" s="2">
        <v>688916.0</v>
      </c>
      <c r="F102" s="2">
        <v>0.0</v>
      </c>
      <c r="G102" s="2">
        <v>100.0</v>
      </c>
      <c r="H102" s="2">
        <v>4</v>
      </c>
      <c r="I102" t="inlineStr" s="0">
        <is>
          <t>Ak 1: Järjestölähtöiseen kriisi- ja mielenterveystyöhön vaikeissa elämäntilanteissa oleville tarjoamalla matalan kynnyksen keskusteluapua, ammatillisesti ohjattuja ryhmiä ja tukihenkilötoimintaa (MIELI kriisikeskus Turku) (299 250 €) | Ak 2642: Pakolaistaustaisten ja muista vastaavista lähtökohdista Suomeen muuttaneiden ihmisten mielenterveyttä edistävien ryhmätoimintojen kehittämiseen, toteuttamiseen ja levittämiseen (Serene-toiminta) (153 761 €) | Ak 5581: Seksuaalista väkivaltaa kokeneiden, yli 16-vuotiaiden henkilöiden voimavarojen vahvistamiseen lyhytkestoisen kriisiavun, vertaisryhmätoiminnan sekä nuorille suunnatun, seksuaalioikeuksia ja turvataitoja koskevan ennaltaehkäisevän tiedonvälityksen avulla (Koski-seksuaaliväkivaltatyö Turun alueella) (145 905 €) | Ak 3: Turun seudulla asuvien läheisensä menettäneiden henkilöiden tukemiseen ja voimavarojen vahvistamiseen ammatillisella kriisityöllä, vertaistukitoiminnoilla ja merkityksellisen vapaaehtoistyön keinoin (Feeniks) (90 000 €)</t>
        </is>
      </c>
    </row>
    <row r="103">
      <c r="A103" s="2">
        <v>102</v>
      </c>
      <c r="B103" s="2">
        <v>973</v>
      </c>
      <c r="C103" t="inlineStr" s="0">
        <is>
          <t>STOP HUUMEILLE RY</t>
        </is>
      </c>
      <c r="D103" s="2">
        <v>687261.0</v>
      </c>
      <c r="E103" s="2">
        <v>467460.0</v>
      </c>
      <c r="F103" s="2">
        <v>219801.0</v>
      </c>
      <c r="G103" s="2">
        <v>68.0</v>
      </c>
      <c r="H103" s="2">
        <v>3</v>
      </c>
      <c r="I103" t="inlineStr" s="0">
        <is>
          <t>Ak 2: Päihdekuntoutujille suunnattuun vertaistukitoimintaan (269 010 €) | Ay 1283: Yleisavustuksena avustuksen saajan yleishyödylliseen toimintaan (219 801 €) | Ak 3887: Palvelujärjestelmässä asiointia helpottavan päihdetoipuville suunnatun Fattaluuta-vertaispalveluohjaustoiminnan ylläpitämiseen ja jatkokehittämiseen (198 450 €)</t>
        </is>
      </c>
    </row>
    <row r="104">
      <c r="A104" s="2">
        <v>103</v>
      </c>
      <c r="B104" s="2">
        <v>14</v>
      </c>
      <c r="C104" t="inlineStr" s="0">
        <is>
          <t>ELÄKELÄISET RY</t>
        </is>
      </c>
      <c r="D104" s="2">
        <v>678090.0</v>
      </c>
      <c r="E104" s="2">
        <v>140500.0</v>
      </c>
      <c r="F104" s="2">
        <v>537590.0</v>
      </c>
      <c r="G104" s="2">
        <v>20.7</v>
      </c>
      <c r="H104" s="2">
        <v>3</v>
      </c>
      <c r="I104" t="inlineStr" s="0">
        <is>
          <t>Ay 1: Yleisavustuksena avustuksen saajan yleishyödylliseen toimintaan (537 590 €) | Ak 3: Ulkomaalaistaustaisten iäkkäiden arjen tukemiseen paikallisyhdistysten ikävertaisten ja yhteistoiminnan avulla (Moninaisuustyön Teemme yhdessä toiminta) (88 000 €) | Ak 4: Jäsenjärjestöille kohdistettaviin avustuksiin (52 500 €)</t>
        </is>
      </c>
    </row>
    <row r="105">
      <c r="A105" s="2">
        <v>104</v>
      </c>
      <c r="B105" s="2">
        <v>420</v>
      </c>
      <c r="C105" t="inlineStr" s="0">
        <is>
          <t>Mielenterveysomaiset Pirkanmaa - FinFami ry</t>
        </is>
      </c>
      <c r="D105" s="2">
        <v>676800.0</v>
      </c>
      <c r="E105" s="2">
        <v>676800.0</v>
      </c>
      <c r="F105" s="2">
        <v>0.0</v>
      </c>
      <c r="G105" s="2">
        <v>100.0</v>
      </c>
      <c r="H105" s="2">
        <v>1</v>
      </c>
      <c r="I105" t="inlineStr" s="0">
        <is>
          <t>Ak 3: Mielenterveysomaisten hyvinvoinnin ja osallisuuden vahvistamiseen omaisneuvonnan, koulutus-, kurssi-, vertais- ja virkistystoiminnan sekä yhteiskunnallisen vaikuttamisen avulla Pirkanmaalla (676 800 €)</t>
        </is>
      </c>
    </row>
    <row r="106">
      <c r="A106" s="2">
        <v>105</v>
      </c>
      <c r="B106" s="2">
        <v>947</v>
      </c>
      <c r="C106" t="inlineStr" s="0">
        <is>
          <t>Suomen Vanhempainliitto ry, Finlands Föräldraförbund rf</t>
        </is>
      </c>
      <c r="D106" s="2">
        <v>670463.0</v>
      </c>
      <c r="E106" s="2">
        <v>211200.0</v>
      </c>
      <c r="F106" s="2">
        <v>459263.0</v>
      </c>
      <c r="G106" s="2">
        <v>31.5</v>
      </c>
      <c r="H106" s="2">
        <v>4</v>
      </c>
      <c r="I106" t="inlineStr" s="0">
        <is>
          <t>Ay 1: Yleisavustuksena avustuksen saajan yleishyödylliseen toimintaan (459 263 €) | Ak 5940: Yhdenvertaisuuden edistämiseen kodin ja kasvuyhteisöjen (päiväkoti ja koulu) yhteistyössä, vanhempaintoiminnassa sekä lasten ja nuorten kasvuyhteisöissä tiedottamalla ja kouluttamalla (Yhdenvertaisuus vanhempaintoiminnassa sekä lasten ja nuorten kasvuyhteisöissä) (154 350 €) | Ak 5: Jäsenjärjestöille kohdistettaviin avustuksiin (38 850 €) | Ak 3: Valtakunnallisen vuosittaisen Kodin ja Koulun päivän järjestämiseen edistämään kodin ja koulun kumppanuutta lasten ja nuorten parhaaksi sekä vahvistamaan kodin ja koulun yhteistyötä (18 000 €)</t>
        </is>
      </c>
    </row>
    <row r="107">
      <c r="A107" s="2">
        <v>106</v>
      </c>
      <c r="B107" s="2">
        <v>959</v>
      </c>
      <c r="C107" t="inlineStr" s="0">
        <is>
          <t>Kasper - Kasvatus- ja perheneuvonta ry</t>
        </is>
      </c>
      <c r="D107" s="2">
        <v>661180.0</v>
      </c>
      <c r="E107" s="2">
        <v>473755.0</v>
      </c>
      <c r="F107" s="2">
        <v>187425.0</v>
      </c>
      <c r="G107" s="2">
        <v>71.7</v>
      </c>
      <c r="H107" s="2">
        <v>3</v>
      </c>
      <c r="I107" t="inlineStr" s="0">
        <is>
          <t>Ak 1367: Lastensuojelun asiakasvanhempien ja heidän läheistensä osallisuuden ja hyvinvoinnin vahvistamiseen kokemusasiantuntijuuteen perustuvan toiminnan keinoin. Toimintamuotoja ovat vertaistukiryhmät, -kahvilat, verkkotapaamiset, puhelinneuvonta, vertaistukihenkilötoiminta, kokemusasiantuntijatoiminta ja ammattilaisten kouluttaminen. (VOIKUKKIA-toiminta) (275 100 €) | Ak 5: Vanhempien eron kokeneiden lasten ja nuorten hyvinvoinnin vahvistamiseen vertaistoiminnan keinoin, vanhemmuuden vahvistamiseen sekä perheiden kanssa työskentelevien ammattilaisten osaamisen lisäämiseen (198 655 €) | Ay 1874: Yleisavustuksena avustuksen saajan yleishyödylliseen toimintaan (187 425 €)</t>
        </is>
      </c>
    </row>
    <row r="108">
      <c r="A108" s="2">
        <v>107</v>
      </c>
      <c r="B108" s="2">
        <v>594</v>
      </c>
      <c r="C108" t="inlineStr" s="0">
        <is>
          <t>NAISTENKARTANO RY</t>
        </is>
      </c>
      <c r="D108" s="2">
        <v>657800.0</v>
      </c>
      <c r="E108" s="2">
        <v>305000.0</v>
      </c>
      <c r="F108" s="2">
        <v>352800.0</v>
      </c>
      <c r="G108" s="2">
        <v>46.4</v>
      </c>
      <c r="H108" s="2">
        <v>2</v>
      </c>
      <c r="I108" t="inlineStr" s="0">
        <is>
          <t>Ay 1: Yleisavustuksena avustuksen saajan yleishyödylliseen toimintaan (352 800 €) | Ak 12056: Rikosseuraamuksen piirissä, asunnottomana tai päihderiippuvuuden kanssa elävien naisten hyvinvoinnin edistämiseen vertaisryhmätoiminnan ja ammattilaisten osaamisen lisäämisen avulla (305 000 €)</t>
        </is>
      </c>
    </row>
    <row r="109">
      <c r="A109" s="2">
        <v>108</v>
      </c>
      <c r="B109" s="2">
        <v>269</v>
      </c>
      <c r="C109" t="inlineStr" s="0">
        <is>
          <t>KOKKOLAN ENSI- JA TURVAKOTI RY</t>
        </is>
      </c>
      <c r="D109" s="2">
        <v>644172.0</v>
      </c>
      <c r="E109" s="2">
        <v>644172.0</v>
      </c>
      <c r="F109" s="2">
        <v>0.0</v>
      </c>
      <c r="G109" s="2">
        <v>100.0</v>
      </c>
      <c r="H109" s="2">
        <v>3</v>
      </c>
      <c r="I109" t="inlineStr" s="0">
        <is>
          <t>Ak 5649: Vauvaperheiden päihteettömän ja turvallisen arjen vahvistamiseen sekä päihteiden aiheuttamien haittojen ehkäisemiseen vauvalle kohtaavan etsivän ja matalan kynnyksen työllä, ja yhteisöllisellä vertaisryhmä-, perhe- ja yksilötyöskentelyllä. Tavoitteena on tukea vauvan ja vanhemman välistä vuorovaikutusta sekä edistää vauvaperheiden osallisuutta. (Pidä kiinni –hoitojärjestelmän avopalveluyksikkö Liina 2026) (251 340 €) | Ak 3305: Avokriisityöhön väkivallan kokijoiden, tekijöiden ja altistuneiden kanssa sekä eroperheiden tukemiseen yksilö-, pari- ja ryhmätoiminnan keinoin (Kriisi- ja väkivaltatyön yksikkö Väkevä, avopalvelutoiminta ja kriisityö) (197 532 €) | Ak 5658: Vauvaperheiden vanhemmuuden ja vuorovaikutuksen tukemiseen intensiivisen ryhmätoiminnan keinoin sekä vanhempien jaksamisen ja masennuksesta toipumisen tukemiseen tarjoamalla lyhytkestoista vauvaperheohjausta ja uniohjausta (Vanhemmuuden tukiyksikkö Helmi) (195 300 €)</t>
        </is>
      </c>
    </row>
    <row r="110">
      <c r="A110" s="2">
        <v>109</v>
      </c>
      <c r="B110" s="2">
        <v>1142</v>
      </c>
      <c r="C110" t="inlineStr" s="0">
        <is>
          <t>PERHEHOITOLIITTO RY</t>
        </is>
      </c>
      <c r="D110" s="2">
        <v>642574.0</v>
      </c>
      <c r="E110" s="2">
        <v>269777.0</v>
      </c>
      <c r="F110" s="2">
        <v>372797.0</v>
      </c>
      <c r="G110" s="2">
        <v>42.0</v>
      </c>
      <c r="H110" s="2">
        <v>4</v>
      </c>
      <c r="I110" t="inlineStr" s="0">
        <is>
          <t>Ay 1: Yleisavustuksena avustuksen saajan yleishyödylliseen toimintaan (372 797 €) | Ak 2836: Ikäihmisiä hoitavien perhehoitajien järjestölähtöiseen tukeen ja edunvalvontaan (Tunne ja turvaa ikäihmisten hyvä perhehoito) (153 596 €) | Ak 2: Sijaiskotinuorten hyvinvoinnin lisäämiseen vertaistukitoiminnan avulla (92 031 €) | Ak 4: Jäsenjärjestöille kohdistettaviin avustuksiin (24 150 €)</t>
        </is>
      </c>
    </row>
    <row r="111">
      <c r="A111" s="2">
        <v>110</v>
      </c>
      <c r="B111" s="2">
        <v>354</v>
      </c>
      <c r="C111" t="inlineStr" s="0">
        <is>
          <t>ERITYISHUOLTOJÄRJESTÖJEN LIITTO EHJÄ RY</t>
        </is>
      </c>
      <c r="D111" s="2">
        <v>642251.0</v>
      </c>
      <c r="E111" s="2">
        <v>445432.0</v>
      </c>
      <c r="F111" s="2">
        <v>196819.0</v>
      </c>
      <c r="G111" s="2">
        <v>69.4</v>
      </c>
      <c r="H111" s="2">
        <v>4</v>
      </c>
      <c r="I111" t="inlineStr" s="0">
        <is>
          <t>Ay 1: Yleisavustuksena avustuksen saajan yleishyödylliseen toimintaan (196 819 €) | Ak 2: Maahanmuuttajataustaisten nuorten ja alaikäisinä yksintulleiden turvapaikanhakijataustaisten nuorten tukemiseen ryhmätoiminnan, leirien, retkien, tapahtumien ja yksilöllisen ohjauksen avulla (Maahanmuuttajanuorten tukitoiminta) (170 595 €) | Ak 6009: Pakolaistaustaisten 14-29-vuotiaiden nuorten työelämävalmiuksien lisäämiseen ja työllisyyden edistämiseen ohjauksen avulla (Kannustavat kokemukset -toiminta) (170 100 €) | Ak 4435: Koira-avusteiseen lasten ja nuorten vapaaehtoiseen tukihenkilötoimintaan 7-17 -vuotiaille lapsille ja nuorille (Ressu-toiminta) sekä sijaishuollosta itsenäistyvien nuorten vapaaehtoiseen tukihenkilötoimintaan siirtymävaiheessa (Omilleen toiminta) (104 737 €)</t>
        </is>
      </c>
    </row>
    <row r="112">
      <c r="A112" s="2">
        <v>111</v>
      </c>
      <c r="B112" s="2">
        <v>1124</v>
      </c>
      <c r="C112" t="inlineStr" s="0">
        <is>
          <t>ESPOON JA KAUNIAISTEN MUISTIYHDISTYS RY</t>
        </is>
      </c>
      <c r="D112" s="2">
        <v>638625.0</v>
      </c>
      <c r="E112" s="2">
        <v>638625.0</v>
      </c>
      <c r="F112" s="2">
        <v>0.0</v>
      </c>
      <c r="G112" s="2">
        <v>100.0</v>
      </c>
      <c r="H112" s="2">
        <v>1</v>
      </c>
      <c r="I112" t="inlineStr" s="0">
        <is>
          <t>Ak 1: Muistisairauksien asiantuntija- ja tukikeskuksen toimintaan ja muistisairaiden ja heidän läheistensä tukemiseen Uudenmaan alueella  - vertaisryhmätoiminnalla - ohjauksella ja neuvonnalla - vapaaehtoistoiminnalla - tiedotuksella - edunvalvonnalla (Muistiluotsi) (638 625 €)</t>
        </is>
      </c>
    </row>
    <row r="113">
      <c r="A113" s="2">
        <v>112</v>
      </c>
      <c r="B113" s="2">
        <v>407</v>
      </c>
      <c r="C113" t="inlineStr" s="0">
        <is>
          <t>Vates-säätiö sr</t>
        </is>
      </c>
      <c r="D113" s="2">
        <v>635574.0</v>
      </c>
      <c r="E113" s="2">
        <v>172596.0</v>
      </c>
      <c r="F113" s="2">
        <v>462978.0</v>
      </c>
      <c r="G113" s="2">
        <v>27.2</v>
      </c>
      <c r="H113" s="2">
        <v>2</v>
      </c>
      <c r="I113" t="inlineStr" s="0">
        <is>
          <t>Ay 1: Yleisavustuksena avustuksen saajan yleishyödylliseen toimintaan (462 978 €) | Ak 6: Vammaisten, pitkäaikaissairaiden ja osatyökykyisten henkilöiden työllistymismahdollisuuksien ja osallisuuden edistämiseen valtakunnallisen ja alueellisen verkostotoiminnan, tiedon tuottamisen sekä kehittämis- ja koordinaatiotyön keinoin (172 596 €)</t>
        </is>
      </c>
    </row>
    <row r="114">
      <c r="A114" s="2">
        <v>113</v>
      </c>
      <c r="B114" s="2">
        <v>979</v>
      </c>
      <c r="C114" t="inlineStr" s="0">
        <is>
          <t>Mannerheimin Lastensuojeluliiton Järvi-Suomen piiri ry</t>
        </is>
      </c>
      <c r="D114" s="2">
        <v>635541.0</v>
      </c>
      <c r="E114" s="2">
        <v>635541.0</v>
      </c>
      <c r="F114" s="2">
        <v>0.0</v>
      </c>
      <c r="G114" s="2">
        <v>100.0</v>
      </c>
      <c r="H114" s="2">
        <v>2</v>
      </c>
      <c r="I114" t="inlineStr" s="0">
        <is>
          <t>Ak 2: Alaikäisten lasten vanhempien ja maahanmuuttajaäitien vanhemmuuden tukeen sekä lasten ja nuorten osallisuuden tukemiseen,  yksinäisyyden ehkäisemiseen ammatillisesti ohjatun vapaaehtoisen tukihenkilötoiminnan keinoin (Kaveri-, Perhekummi- ja Ystäväksi maahanmuuttajaäidille - toiminta Järvi-Suomessa) (319 869 €) | Ak 11274: Kiusaamista kokeneiden lasten ja nuorten tukemiseen sekä kiusaamisen jälkihoitoon liittyvän osaamisen lisäämiseen. Selviytyjät-vertaisryhmien järjestämiseen kiusaamista kokeneille noin 12–21-vuotiaille nuorille. (315 672 €)</t>
        </is>
      </c>
    </row>
    <row r="115">
      <c r="A115" s="2">
        <v>114</v>
      </c>
      <c r="B115" s="2">
        <v>921</v>
      </c>
      <c r="C115" t="inlineStr" s="0">
        <is>
          <t>AUTA LASTA RY</t>
        </is>
      </c>
      <c r="D115" s="2">
        <v>635432.0</v>
      </c>
      <c r="E115" s="2">
        <v>482240.0</v>
      </c>
      <c r="F115" s="2">
        <v>153192.0</v>
      </c>
      <c r="G115" s="2">
        <v>75.9</v>
      </c>
      <c r="H115" s="2">
        <v>3</v>
      </c>
      <c r="I115" t="inlineStr" s="0">
        <is>
          <t>Ak 10332: Vetureina toimivien lastensuojelun kokemusasiantuntijoiden valmentamiseen ja tukemiseen ja työmahdollisuuksien tarjoamiseen sekä lastensuojelun piirissä oleville/olleille nuorille suunnattuun Veturien antamaan yksilötukeen, ryhmämuotoisiin toimintoihin ja etätukeen sekä kokemusasiantuntemukseen perustuvaan kehittämis- ja vaikuttamistoimintaan (Veturointi-toiminta) (325 240 €) | Ak 7747: Monilapsisten perheiden sujuvan arjen tukemiseen vapaaehtoistoiminnalla Oulussa (Lapsirikas-toiminta) (157 000 €) | C 13648: Euroopan sosiaalirahasto plussan (ESR+) hankkeen "Järjestövarikko 2.0" osarahoitukseen järjestölle (2026-2028) (153 192 €)</t>
        </is>
      </c>
    </row>
    <row r="116">
      <c r="A116" s="2">
        <v>115</v>
      </c>
      <c r="B116" s="2">
        <v>1074</v>
      </c>
      <c r="C116" t="inlineStr" s="0">
        <is>
          <t>A-KILTOJEN LIITTO RY</t>
        </is>
      </c>
      <c r="D116" s="2">
        <v>632703.0</v>
      </c>
      <c r="E116" s="2">
        <v>27663.0</v>
      </c>
      <c r="F116" s="2">
        <v>605040.0</v>
      </c>
      <c r="G116" s="2">
        <v>4.4</v>
      </c>
      <c r="H116" s="2">
        <v>2</v>
      </c>
      <c r="I116" t="inlineStr" s="0">
        <is>
          <t>Ay 1: Yleisavustuksena avustuksen saajan yleishyödylliseen toimintaan (605 040 €) | Ak 6: Jäsenjärjestöille kohdistettaviin avustuksiin (27 663 €)</t>
        </is>
      </c>
    </row>
    <row r="117">
      <c r="A117" s="2">
        <v>116</v>
      </c>
      <c r="B117" s="2">
        <v>281</v>
      </c>
      <c r="C117" t="inlineStr" s="0">
        <is>
          <t>Moniheli ry</t>
        </is>
      </c>
      <c r="D117" s="2">
        <v>628992.0</v>
      </c>
      <c r="E117" s="2">
        <v>364996.0</v>
      </c>
      <c r="F117" s="2">
        <v>263996.0</v>
      </c>
      <c r="G117" s="2">
        <v>58.0</v>
      </c>
      <c r="H117" s="2">
        <v>5</v>
      </c>
      <c r="I117" t="inlineStr" s="0">
        <is>
          <t>Ay 3029: Yleisavustuksena järjestön yleishyödylliseen toimintaan (239 904 €) | Ak 11888: Monikulttuuri-, maahanmuuttaja- tai kotoutumistyötä tekevien järjestöjen digitaitojen lisäämiseen sekä digitukea kehittävien tahojen kulttuurisensitiivisen työotteen vahvistamiseen matalan kynnyksen digituen, materiaalien, koulutusten ja sidosryhmätyön avulla (DigiUp 2026) (139 145 €) | Ak 5663: Asumisen ongelmien ja asunnottomuuden ennaltaehkäisemiseen sekä asumisen ongelmia kohdanneiden vieraskielisten auttamiseen yksilöllisen neuvonnan ja ohjauksen, tiedon jakamisen, ammattilaisten kouluttamisen ja sidosryhmätyön avulla (Katto-toiminta) (125 851 €) | Ak 1775: Jäsenjärjestöille kohdistettaviin avustuksiin (100 000 €) | C 13822: Euroopan sosiaalirahasto plussan (ESR+) hankkeen "Aktiivinen toimijuus" osarahoitukseen järjestölle (2026-2027) (24 092 €)</t>
        </is>
      </c>
    </row>
    <row r="118">
      <c r="A118" s="2">
        <v>117</v>
      </c>
      <c r="B118" s="2">
        <v>101</v>
      </c>
      <c r="C118" t="inlineStr" s="0">
        <is>
          <t>NYYTI RY</t>
        </is>
      </c>
      <c r="D118" s="2">
        <v>622878.0</v>
      </c>
      <c r="E118" s="2">
        <v>359790.0</v>
      </c>
      <c r="F118" s="2">
        <v>263088.0</v>
      </c>
      <c r="G118" s="2">
        <v>57.8</v>
      </c>
      <c r="H118" s="2">
        <v>2</v>
      </c>
      <c r="I118" t="inlineStr" s="0">
        <is>
          <t>Ak 2287: Psyykkistä kuormittuneisuutta, lieviä mielenterveysoireita tai yksinäisyyttä kokevien korkeakouluopiskelijoiden tukemiseen vertaistukitoiminnan, vapaaehtoistoiminnan, kahdenkeskisen keskusteluavun, tietosisältöjen tarjoamisen ja tapahtumatoiminnan avulla (359 790 €) | Ay 1: Yleisavustuksena avustuksen saajan yleishyödylliseen toimintaan (263 088 €)</t>
        </is>
      </c>
    </row>
    <row r="119">
      <c r="A119" s="2">
        <v>118</v>
      </c>
      <c r="B119" s="2">
        <v>903</v>
      </c>
      <c r="C119" t="inlineStr" s="0">
        <is>
          <t>KESKI-SUOMEN YHTEISÖJEN TUKI RY</t>
        </is>
      </c>
      <c r="D119" s="2">
        <v>619953.0</v>
      </c>
      <c r="E119" s="2">
        <v>446578.0</v>
      </c>
      <c r="F119" s="2">
        <v>173375.0</v>
      </c>
      <c r="G119" s="2">
        <v>72.0</v>
      </c>
      <c r="H119" s="2">
        <v>3</v>
      </c>
      <c r="I119" t="inlineStr" s="0">
        <is>
          <t>Ak 3: Kansalaistoiminnankeskus Mataran toimintaan, alueen sote-järjestöjen tukemiseen, vapaaehtoistyön kehittämiseen ja koordinointiin sekä OLKA - toiminnan toteuttamiseen (255 780 €) | Ak 1: Järjestöjen tuki- ja kehittämistoimintoihin Keski-Suomessa (190 798 €) | Ay 1957: Yleisavustuksena avustuksen saajan yleishyödylliseen toimintaan. (173 375 €)</t>
        </is>
      </c>
    </row>
    <row r="120">
      <c r="A120" s="2">
        <v>119</v>
      </c>
      <c r="B120" s="2">
        <v>539</v>
      </c>
      <c r="C120" t="inlineStr" s="0">
        <is>
          <t>AVAIN-SÄÄTIÖ</t>
        </is>
      </c>
      <c r="D120" s="2">
        <v>619094.0</v>
      </c>
      <c r="E120" s="2">
        <v>531180.0</v>
      </c>
      <c r="F120" s="2">
        <v>87914.0</v>
      </c>
      <c r="G120" s="2">
        <v>85.8</v>
      </c>
      <c r="H120" s="2">
        <v>3</v>
      </c>
      <c r="I120" t="inlineStr" s="0">
        <is>
          <t>Ak 5735: Sosiaalisten taitojen, arjenhallinnan, psyykkisten voimavarojen ja osallisuuden vahvistamiseen vertaistuellisen ryhmätoiminnan keinoin eri-ikäisille moniongelmaisille, työttömille tai työ- ja opiskeluelämän ulkopuolella oleville nuorille ja aikuisille (Poveria-toiminta) (406 660 €) | Ak 7678: Ikääntyneiden yksinäisyyden ennaltaehkäisemiseen ja vähentämiseen kuvapuheluvälitteisen pienryhmätoiminnan avulla Päijät- ja Kanta-Hämeessä (Ruutuystävät-toiminta) (124 520 €) | C 13785: Euroopan sosiaalirahasto plussan (ESR+) hankkeen "Digikokemusosaaja" osarahoitukseen säätiölle (2026-2028) (87 914 €)</t>
        </is>
      </c>
    </row>
    <row r="121">
      <c r="A121" s="2">
        <v>120</v>
      </c>
      <c r="B121" s="2">
        <v>572</v>
      </c>
      <c r="C121" t="inlineStr" s="0">
        <is>
          <t>KYNNYS RY</t>
        </is>
      </c>
      <c r="D121" s="2">
        <v>618900.0</v>
      </c>
      <c r="E121" s="2">
        <v>191100.0</v>
      </c>
      <c r="F121" s="2">
        <v>427800.0</v>
      </c>
      <c r="G121" s="2">
        <v>30.9</v>
      </c>
      <c r="H121" s="2">
        <v>2</v>
      </c>
      <c r="I121" t="inlineStr" s="0">
        <is>
          <t>Ay 1: Yleisavustuksena avustuksen saajan yleishyödylliseen toimintaan (427 800 €) | Ak 7: Henkilökohtaiseen apuun liittyvän tietoisuuden lisäämiseen neuvontatoiminnalla, koulutuksilla, tiedontuotannolla sekä asiantuntija- ja osaamisverkoston koordinoinnilla (assistentti.info) (191 100 €)</t>
        </is>
      </c>
    </row>
    <row r="122">
      <c r="A122" s="2">
        <v>121</v>
      </c>
      <c r="B122" s="2">
        <v>751</v>
      </c>
      <c r="C122" t="inlineStr" s="0">
        <is>
          <t>YHDEN VANHEMMAN PERHEIDEN LIITTO RY</t>
        </is>
      </c>
      <c r="D122" s="2">
        <v>608080.0</v>
      </c>
      <c r="E122" s="2">
        <v>270860.0</v>
      </c>
      <c r="F122" s="2">
        <v>337220.0</v>
      </c>
      <c r="G122" s="2">
        <v>44.5</v>
      </c>
      <c r="H122" s="2">
        <v>3</v>
      </c>
      <c r="I122" t="inlineStr" s="0">
        <is>
          <t>Ay 1: Yleisavustuksena avustuksen saajan yleishyödylliseen toimintaan (337 220 €) | Ak 10026: Vanhempien eron kohdanneiden ja ilman toista vanhempaa kasvavien lasten ja nuorten sekä heidän vanhempiensa hyvinvoinnin tukemiseen vertaisuuteen perustuvalla ja osallisuutta edistävällä toiminnalla (257 000 €) | Ak 3: Jäsenjärjestöille kohdistettaviin avustuksiin (13 860 €)</t>
        </is>
      </c>
    </row>
    <row r="123">
      <c r="A123" s="2">
        <v>122</v>
      </c>
      <c r="B123" s="2">
        <v>507</v>
      </c>
      <c r="C123" t="inlineStr" s="0">
        <is>
          <t>TUKIRANKA RY</t>
        </is>
      </c>
      <c r="D123" s="2">
        <v>606556.0</v>
      </c>
      <c r="E123" s="2">
        <v>606556.0</v>
      </c>
      <c r="F123" s="2">
        <v>0.0</v>
      </c>
      <c r="G123" s="2">
        <v>100.0</v>
      </c>
      <c r="H123" s="2">
        <v>3</v>
      </c>
      <c r="I123" t="inlineStr" s="0">
        <is>
          <t>Ak 11135: Erityistä tukea tarvitsevien nuorten aikuisten terveyttä ja hyvinvointia tukevaan kohtaamispaikkatoimintaan, ryhmätoimintaan, vapaaehtoistyöhön ja yksilölliseen tukeen (237 951 €) | Ak 4350: 18-35-vuotiaiden mielenterveyskuntoutujien osallisuuden tunteen ja motivaation kasvattamiseen sekä työ- ja toimintakyvyn edistämiseen järjestämällä ohjattuun toiminnalliseen vertaistukeen perustuvaa kulttuuripajatoimintaa (190 000 €) | Ak 3: Mielenterveyskuntoutujien terveyttä, hyvinvointia, osallisuutta sekä työ- ja opiskeluelämään palaamista edistävään tavoitteelliseen kohtaamispaikkatoimintaan  (Porin klubitalo Sarastus) (178 605 €)</t>
        </is>
      </c>
    </row>
    <row r="124">
      <c r="A124" s="2">
        <v>123</v>
      </c>
      <c r="B124" s="2">
        <v>11</v>
      </c>
      <c r="C124" t="inlineStr" s="0">
        <is>
          <t>SETA RY</t>
        </is>
      </c>
      <c r="D124" s="2">
        <v>605660.0</v>
      </c>
      <c r="E124" s="2">
        <v>306140.0</v>
      </c>
      <c r="F124" s="2">
        <v>299520.0</v>
      </c>
      <c r="G124" s="2">
        <v>50.5</v>
      </c>
      <c r="H124" s="2">
        <v>3</v>
      </c>
      <c r="I124" t="inlineStr" s="0">
        <is>
          <t>Ay 1: Yleisavustuksena avustuksen saajan yleishyödylliseen toimintaan (299 520 €) | Ak 6: Sukupuolivähemmistöihin kuuluvien ja heidän läheistensä terveyden ja hyvinvoinnin edistämiseen ammattiohjatun vertaistuen, neuvonnan, yksilötapaamisten, kouluttamisen ja tiedottamisen avulla (Sukupuolen moninaisuuden osaamiskeskus) (253 640 €) | Ak 7: Jäsenjärjestöille kohdistettaviin avustuksiin (52 500 €)</t>
        </is>
      </c>
    </row>
    <row r="125">
      <c r="A125" s="2">
        <v>124</v>
      </c>
      <c r="B125" s="2">
        <v>641</v>
      </c>
      <c r="C125" t="inlineStr" s="0">
        <is>
          <t>FinFami ry, FinFami rf</t>
        </is>
      </c>
      <c r="D125" s="2">
        <v>597450.0</v>
      </c>
      <c r="E125" s="2">
        <v>267750.0</v>
      </c>
      <c r="F125" s="2">
        <v>329700.0</v>
      </c>
      <c r="G125" s="2">
        <v>44.8</v>
      </c>
      <c r="H125" s="2">
        <v>2</v>
      </c>
      <c r="I125" t="inlineStr" s="0">
        <is>
          <t>Ay 1: Yleisavustuksena avustuksen saajan yleishyödylliseen toimintaan (329 700 €) | Ak 5: Alueellisten mielenterveysomaisjärjestöjen toimintaedellytysten vahvistamiseen kehittämällä ja koordinoimalla yhdistysten hallintoa, omaistyötä, vaikuttamistoimintaa sekä vapaaehtoistyötä (267 750 €)</t>
        </is>
      </c>
    </row>
    <row r="126">
      <c r="A126" s="2">
        <v>125</v>
      </c>
      <c r="B126" s="2">
        <v>259</v>
      </c>
      <c r="C126" t="inlineStr" s="0">
        <is>
          <t>Förbundet Finlands Svenska Synskadade rf</t>
        </is>
      </c>
      <c r="D126" s="2">
        <v>584196.0</v>
      </c>
      <c r="E126" s="2">
        <v>474196.0</v>
      </c>
      <c r="F126" s="2">
        <v>110000.0</v>
      </c>
      <c r="G126" s="2">
        <v>81.2</v>
      </c>
      <c r="H126" s="2">
        <v>4</v>
      </c>
      <c r="I126" t="inlineStr" s="0">
        <is>
          <t>Ak 4: För främjande av svenskspråkiga synskadades tillgång till information och ökade delaktighet genom kommunikations- och punktskriftsverksamhet samt utgivning av svenskspråkiga tal- och punktskriftstidningar (256 706 €) | Ak 3: För ökad delaktighet och förbättrade synskadefärdigheter för svenskspråkiga personer med synnedsättning och påtagliga synutmaningar med hjälp av handledning och rådgivning, it-utbildning och kamratstöd (161 500 €) | Ay 1: Som allmänt understöd för understödstagarens allmännyttiga verksamhet (110 000 €) | Ak 4282: För understöd som allokeras till medlemsorganisationer (55 990 €)</t>
        </is>
      </c>
    </row>
    <row r="127">
      <c r="A127" s="2">
        <v>126</v>
      </c>
      <c r="B127" s="2">
        <v>425</v>
      </c>
      <c r="C127" t="inlineStr" s="0">
        <is>
          <t>Mielenterveysyhdistys HELMI ry</t>
        </is>
      </c>
      <c r="D127" s="2">
        <v>581990.0</v>
      </c>
      <c r="E127" s="2">
        <v>581990.0</v>
      </c>
      <c r="F127" s="2">
        <v>0.0</v>
      </c>
      <c r="G127" s="2">
        <v>100.0</v>
      </c>
      <c r="H127" s="2">
        <v>1</v>
      </c>
      <c r="I127" t="inlineStr" s="0">
        <is>
          <t>Ak 6: Mielenterveyskuntoutujien osallisuuden ja toimintakyvyn vahvistamiseen kohtaamispaikkatoiminnan, vertaistuen, vapaaehtois- ja tukihenkilötoiminnan sekä palveluohjauksen keinoin Helsingissä (Helmi-talo) (581 990 €)</t>
        </is>
      </c>
    </row>
    <row r="128">
      <c r="A128" s="2">
        <v>127</v>
      </c>
      <c r="B128" s="2">
        <v>115</v>
      </c>
      <c r="C128" t="inlineStr" s="0">
        <is>
          <t>NAISTEN LINJA SUOMESSA RY</t>
        </is>
      </c>
      <c r="D128" s="2">
        <v>578183.0</v>
      </c>
      <c r="E128" s="2">
        <v>578183.0</v>
      </c>
      <c r="F128" s="2">
        <v>0.0</v>
      </c>
      <c r="G128" s="2">
        <v>100.0</v>
      </c>
      <c r="H128" s="2">
        <v>1</v>
      </c>
      <c r="I128" t="inlineStr" s="0">
        <is>
          <t>Ak 2: Väkivaltaa tai sen uhkaa kokeneiden tyttöjen ja naisten selviytymisen ja toipumisen tukemiseksi sekä vaikuttamistyöhön ja viestintään naisiin kohdistuvan väkivallan ehkäisemiseksi.    Matalan kynnyksen anonyymiin puhelin- ja chat-päivystykseen, verkossa tehtävään jalkautuvaan työhön, yksilölliseen tukeen sekä verkkovertaisryhmiin. (578 183 €)</t>
        </is>
      </c>
    </row>
    <row r="129">
      <c r="A129" s="2">
        <v>128</v>
      </c>
      <c r="B129" s="2">
        <v>554</v>
      </c>
      <c r="C129" t="inlineStr" s="0">
        <is>
          <t>PALKANSAAJIEN HYVINVOINTI JA TERVEYS RY</t>
        </is>
      </c>
      <c r="D129" s="2">
        <v>570704.0</v>
      </c>
      <c r="E129" s="2">
        <v>570704.0</v>
      </c>
      <c r="F129" s="2">
        <v>0.0</v>
      </c>
      <c r="G129" s="2">
        <v>100.0</v>
      </c>
      <c r="H129" s="2">
        <v>1</v>
      </c>
      <c r="I129" t="inlineStr" s="0">
        <is>
          <t>Ak 9: Sosiaalisin, terveydellisin ja taloudellisin perustein valittujen perheiden ja aikuisten terveyttä edistävään internaattimuotoiseen hyvinvointikurssitoimintaan sekä toiminnan kehittämistyöhön (570 704 €)</t>
        </is>
      </c>
    </row>
    <row r="130">
      <c r="A130" s="2">
        <v>129</v>
      </c>
      <c r="B130" s="2">
        <v>209</v>
      </c>
      <c r="C130" t="inlineStr" s="0">
        <is>
          <t>SOS LAPSIKYLÄ RY</t>
        </is>
      </c>
      <c r="D130" s="2">
        <v>567800.0</v>
      </c>
      <c r="E130" s="2">
        <v>567800.0</v>
      </c>
      <c r="F130" s="2">
        <v>0.0</v>
      </c>
      <c r="G130" s="2">
        <v>100.0</v>
      </c>
      <c r="H130" s="2">
        <v>3</v>
      </c>
      <c r="I130" t="inlineStr" s="0">
        <is>
          <t>Ak 11703: Huolta, turvattomuutta, uhkaa tai apua tarvitsevien 7-15 vuotiaiden lasten yhteydenottoihin vastaamiseen ammattilaisten ja koulutettujen vapaaehtoisten avulla (Apuu-chat) (352 800 €) | Ak 10148: Lapsiperheiden ja toimintaa järjestävien vapaaehtoisten ikäihmisten voimavarojen, merkityksellisyyden ja osallisuuden vahvistamiseen omassa elämässä ja lähiyhteisössä kohtaamispaikkatoiminnan avulla sekä toiminnan koordinointiin  (Mummun ja vaarin tupa -toiminta) (130 000 €) | Ak 7488: Lastensuojelutaustaisille, päihdeongelmista kärsiville sekä sukupuoli- ja seksuaalivähemmistöihin kuuluville yli 17-vuotiaille nuorille ja aikuisille tarkoitetun vertaismentoritoiminnan ylläpitämiseen ja kehittämiseen Ylitse MentorApp -sovelluksen välityksellä (Ylitse MentorApp -vertaistukea verkossa) (85 000 €)</t>
        </is>
      </c>
    </row>
    <row r="131">
      <c r="A131" s="2">
        <v>130</v>
      </c>
      <c r="B131" s="2">
        <v>232</v>
      </c>
      <c r="C131" t="inlineStr" s="0">
        <is>
          <t>VARSINAIS-SUOMEN MUISTIYHDISTYS RY</t>
        </is>
      </c>
      <c r="D131" s="2">
        <v>564102.0</v>
      </c>
      <c r="E131" s="2">
        <v>564102.0</v>
      </c>
      <c r="F131" s="2">
        <v>0.0</v>
      </c>
      <c r="G131" s="2">
        <v>100.0</v>
      </c>
      <c r="H131" s="2">
        <v>2</v>
      </c>
      <c r="I131" t="inlineStr" s="0">
        <is>
          <t>Ak 3: Muistisairauksien asiantuntija- ja tukikeskuksen toimintaan ja muistisairaiden ja heidän läheistensä tukemiseen Varsinais-Suomessa ja Satakunnassa - vertaisryhmätoiminnalla - ohjauksella ja neuvonnalla - vapaaehtoistoiminnalla - tiedotuksella - edunvalvonnalla (Muistiluotsi) (479 102 €) | Ak 3081: För att främja den svenskspråkiga befolkningens hjärnhälsa och förstärka livskvaliteten och välbefinnandet hos personer med en minnessjukdom och deras närstående med förebyggande arbete (Hjärningar – förebyggande arbete förbättrar livskvaliteten) (85 000 €)</t>
        </is>
      </c>
    </row>
    <row r="132">
      <c r="A132" s="2">
        <v>131</v>
      </c>
      <c r="B132" s="2">
        <v>1211</v>
      </c>
      <c r="C132" t="inlineStr" s="0">
        <is>
          <t>Työttömien Keskusjärjestö ry</t>
        </is>
      </c>
      <c r="D132" s="2">
        <v>559785.0</v>
      </c>
      <c r="E132" s="2">
        <v>273184.0</v>
      </c>
      <c r="F132" s="2">
        <v>286601.0</v>
      </c>
      <c r="G132" s="2">
        <v>48.8</v>
      </c>
      <c r="H132" s="2">
        <v>3</v>
      </c>
      <c r="I132" t="inlineStr" s="0">
        <is>
          <t>Ay 1: Yleisavustuksena avustuksen saajan yleishyödylliseen toimintaan (286 601 €) | Ak 7649: Pitkäaikaistyöttömien sekä työelämän ulkopuolella olevien hyvinvoinnin edistämiseen kouluttamalla työttömien yhdistyksiä sosiaali- ja terveysteemoista, ohjaamalla kohderyhmää terveystarkastuksiin sekä tarjoamalla henkilökohtaista neuvontaa palveluista ja elintavoista matalan kynnyksen kohtaamispaikoissa ja etäyhteyksin (Terveyttä työttömille) (244 184 €) | Ak 6: Jäsenjärjestöille kohdistettaviin avustuksiin (29 000 €)</t>
        </is>
      </c>
    </row>
    <row r="133">
      <c r="A133" s="2">
        <v>132</v>
      </c>
      <c r="B133" s="2">
        <v>1058</v>
      </c>
      <c r="C133" t="inlineStr" s="0">
        <is>
          <t>HyTe ry</t>
        </is>
      </c>
      <c r="D133" s="2">
        <v>559130.0</v>
      </c>
      <c r="E133" s="2">
        <v>398755.0</v>
      </c>
      <c r="F133" s="2">
        <v>160375.0</v>
      </c>
      <c r="G133" s="2">
        <v>71.3</v>
      </c>
      <c r="H133" s="2">
        <v>3</v>
      </c>
      <c r="I133" t="inlineStr" s="0">
        <is>
          <t>Ak 4423: OLKA -toimintamallin toteuttamiseen HUSin sairaaloissa pääkaupunkiseudulla ja Länsi-Uudellamaalla, valtakunnallisen OLKA-verkoston konsultointiin sekä sairaalan ja järjestöjen yhteistoiminnan koordinointiin. Vertaistalo.fi -palvelun ja palvelurakenteen kehittämiseen vertaistuen saamiseksi osaksi potilaan palvelupolkua. Toivo-vertaistukisovelluksen koordinointiin ja kehittämiseen. (211 330 €) | Ak 2: Järjestö- ja vapaaehtoistoiminnan tukemiseen  sekä järjestöille tarjottavien tilojen ylläpitoon Espoossa (187 425 €) | Ay 1707: Yleisavustuksena avustuksen saajan yleishyödylliseen toimintaan (160 375 €)</t>
        </is>
      </c>
    </row>
    <row r="134">
      <c r="A134" s="2">
        <v>133</v>
      </c>
      <c r="B134" s="2">
        <v>265</v>
      </c>
      <c r="C134" t="inlineStr" s="0">
        <is>
          <t>TURUN NMKY-KFUM I ÅBO RY</t>
        </is>
      </c>
      <c r="D134" s="2">
        <v>558244.0</v>
      </c>
      <c r="E134" s="2">
        <v>558244.0</v>
      </c>
      <c r="F134" s="2">
        <v>0.0</v>
      </c>
      <c r="G134" s="2">
        <v>100.0</v>
      </c>
      <c r="H134" s="2">
        <v>4</v>
      </c>
      <c r="I134" t="inlineStr" s="0">
        <is>
          <t>Ak 10010: Nuorten syrjäytymistä ehkäisevään vapaa-ajan toimintaan Turun seudulla. (Yökoris) (147 000 €) | Ak 10291: Nuorten tekemien rikosten, kiusaamisen ja ristiriitatilanteiden ehkäisemiseen ja selvittämiseen sovittelujen, seurantatapaamisten ja -yhteydenottojen sekä kouluihin jalkautumisen avulla Varsinais-Suomessa.  (Katusovittelua nuorille rikoksentekijöille ja nuorten välisten konfliktien selvittämiseen) (140 000 €) | Ak 1: Palveluista syrjäytyneiden nuorten aikuisten matalan kynnyksen toimintaan sekä ryhmätoimintaan ja yksilölliseen tukeen (Nuorten kohtaamispaikka TOIVO) (136 739 €) | Ak 3: Muutoksia ja ongelmia kokeneiden maahanmuuttajien henkilökohtaiseen palveluohjaukseen suomen kielellä Turussa ja Turun lähikunnissa (Turun NMKY:n maahanmuuttajapalvelut) (134 505 €)</t>
        </is>
      </c>
    </row>
    <row r="135">
      <c r="A135" s="2">
        <v>134</v>
      </c>
      <c r="B135" s="2">
        <v>986</v>
      </c>
      <c r="C135" t="inlineStr" s="0">
        <is>
          <t>Y-SÄÄTIÖ</t>
        </is>
      </c>
      <c r="D135" s="2">
        <v>555426.0</v>
      </c>
      <c r="E135" s="2">
        <v>555426.0</v>
      </c>
      <c r="F135" s="2">
        <v>0.0</v>
      </c>
      <c r="G135" s="2">
        <v>100.0</v>
      </c>
      <c r="H135" s="2">
        <v>2</v>
      </c>
      <c r="I135" t="inlineStr" s="0">
        <is>
          <t>Ak 3: Asunnottomien henkilöiden asuttamiseen ja asumisen onnistumisen tukemiseen erityisryhmille kohdennetulla asumisneuvonnalla ja tukiverkostotyöllä (370 000 €) | Ak 7361: Asunnottomuuden vähentämiseen valtakunnallisella verkostotyöllä ja yhteiskehittämisellä asunnottomien, asukkaiden ja henkilöstön kanssa kumppanuuksien asiantuntemusta hyödyntäen sekä Asunto ensin -periaatteen mukaisen työn, työorientaation ja -menetelmien juurruttamiseen asunnottomuustyöhön koulutuspäivien, kehittämispilottien, valmennuksien ja viestinnän avulla (185 426 €)</t>
        </is>
      </c>
    </row>
    <row r="136">
      <c r="A136" s="2">
        <v>135</v>
      </c>
      <c r="B136" s="2">
        <v>958</v>
      </c>
      <c r="C136" t="inlineStr" s="0">
        <is>
          <t>IHMISOIKEUSLIITTO RY</t>
        </is>
      </c>
      <c r="D136" s="2">
        <v>551393.0</v>
      </c>
      <c r="E136" s="2">
        <v>344750.0</v>
      </c>
      <c r="F136" s="2">
        <v>206643.0</v>
      </c>
      <c r="G136" s="2">
        <v>62.5</v>
      </c>
      <c r="H136" s="2">
        <v>3</v>
      </c>
      <c r="I136" t="inlineStr" s="0">
        <is>
          <t>Ay 4545: Yleisavustuksena avustuksen saajan yleishyödylliseen toimintaan (206 643 €) | Ak 1: Kunniaan liittyvän väkivallan eri muotojen torjumiseen ja ennaltaehkäisyyn. Kunniaväkivaltaa kokevien tai sen riskissä olevien henkilöiden seksuaali- ja lisääntymisoikeuksien ja itsemääräämisoikeuden vahvistamiseen sekä palveluihin pääsyn parantamiseen, terveyden ja hyvinvoinnin edistämiseen sekä oikeusturvan toteutumiseen. Vaikuttamis- ja verkostotyöhön asenteiden muuttamiseksi ja rakenteiden kehittämiseksi. (204 750 €) | Ak 11902: Köyhyyttä kokevien ihmisten osallisuuden vahvistamiseen sekä päättäjien ja suuren yleisön ymmärryksen lisäämiseen köyhyydestä ihmisoikeuskysymyksenä vaikuttajaryhmätoiminnan ja koulutusten sekä verkosto- ja vaikuttamistyön avulla (Köyhyys ja ihmisoikeudet) (140 000 €)</t>
        </is>
      </c>
    </row>
    <row r="137">
      <c r="A137" s="2">
        <v>136</v>
      </c>
      <c r="B137" s="2">
        <v>777</v>
      </c>
      <c r="C137" t="inlineStr" s="0">
        <is>
          <t>SUOMEN LUUSTOLIITTO RY</t>
        </is>
      </c>
      <c r="D137" s="2">
        <v>543451.0</v>
      </c>
      <c r="E137" s="2">
        <v>244650.0</v>
      </c>
      <c r="F137" s="2">
        <v>298801.0</v>
      </c>
      <c r="G137" s="2">
        <v>45.0</v>
      </c>
      <c r="H137" s="2">
        <v>3</v>
      </c>
      <c r="I137" t="inlineStr" s="0">
        <is>
          <t>Ay 1: Yleisavustuksena avustuksen saajan yleishyödylliseen toimintaan (298 801 €) | Ak 2: Osteoporoosia sairastavien avo- ja ryhmämuotoiseen kurssitoimintaan (226 800 €) | Ak 5: Jäsenjärjestöille kohdistettaviin avustuksiin (17 850 €)</t>
        </is>
      </c>
    </row>
    <row r="138">
      <c r="A138" s="2">
        <v>137</v>
      </c>
      <c r="B138" s="2">
        <v>448</v>
      </c>
      <c r="C138" t="inlineStr" s="0">
        <is>
          <t>Varsinais-Suomen lastensuojelujärjestöt ry, Barnskyddsorganisationer i Egentliga Finland rf</t>
        </is>
      </c>
      <c r="D138" s="2">
        <v>529612.0</v>
      </c>
      <c r="E138" s="2">
        <v>183750.0</v>
      </c>
      <c r="F138" s="2">
        <v>345862.0</v>
      </c>
      <c r="G138" s="2">
        <v>34.7</v>
      </c>
      <c r="H138" s="2">
        <v>2</v>
      </c>
      <c r="I138" t="inlineStr" s="0">
        <is>
          <t>Ay 1497: Yleisavustuksena avustuksen saajan yleishyödylliseen toimintaan (345 862 €) | Ak 1528: 10-18-vuotiaiden lasten ja nuorten hyvinvoinnin tukemiseen sekä heidän vanhempien vanhemmuuden vahvistamiseen yksilöllisen tuen, vertaisryhmätoiminnan, tilaisuuksien sekä tiedon ja materiaalien levittämisen keinoin (Linkki-toiminta) (183 750 €)</t>
        </is>
      </c>
    </row>
    <row r="139">
      <c r="A139" s="2">
        <v>138</v>
      </c>
      <c r="B139" s="2">
        <v>378</v>
      </c>
      <c r="C139" t="inlineStr" s="0">
        <is>
          <t>Helsingin seudun erilaiset oppijat ry</t>
        </is>
      </c>
      <c r="D139" s="2">
        <v>527246.0</v>
      </c>
      <c r="E139" s="2">
        <v>527246.0</v>
      </c>
      <c r="F139" s="2">
        <v>0.0</v>
      </c>
      <c r="G139" s="2">
        <v>100.0</v>
      </c>
      <c r="H139" s="2">
        <v>2</v>
      </c>
      <c r="I139" t="inlineStr" s="0">
        <is>
          <t>Ak 1: Eri ikäisten erilaisten oppijoiden tukemiseen ja hyvinvoinnin lisäämiseen vapaaehtois- ja vertaistoiminnan, viestinnän sekä kurssien ja koulutusten avulla (263 847 €) | Ak 6176: Oppimisvaikeuksia kokevien pääsääntöisesti 18-29 -vuotiaiden nuorten syrjäytymisen ehkäisyyn ja NEET-nuorten syrjäytymiskierteen katkaisuun, oppimisen, arjenhallinnan, sosiaalisten taitojen sekä jatkokoulutus- ja työelämävalmiuksien edistämiseen yksilö- ja ryhmäohjauksen avulla (KITE Kohti itsenäistä elämää -kurssi, ASKELMA -toiminta, Vertsu -nuorten vertaisryhmä ja nuorten VAPARI -toiminta) (263 399 €)</t>
        </is>
      </c>
    </row>
    <row r="140">
      <c r="A140" s="2">
        <v>139</v>
      </c>
      <c r="B140" s="2">
        <v>1101</v>
      </c>
      <c r="C140" t="inlineStr" s="0">
        <is>
          <t>Suolistosairaudet ry</t>
        </is>
      </c>
      <c r="D140" s="2">
        <v>524587.0</v>
      </c>
      <c r="E140" s="2">
        <v>272587.0</v>
      </c>
      <c r="F140" s="2">
        <v>252000.0</v>
      </c>
      <c r="G140" s="2">
        <v>52.0</v>
      </c>
      <c r="H140" s="2">
        <v>4</v>
      </c>
      <c r="I140" t="inlineStr" s="0">
        <is>
          <t>Ay 1: Yleisavustuksena avustuksen saajan yleishyödylliseen toimintaan (252 000 €) | Ak 2508: Eri ikäisten suolistosairautta sairastavien ja heidän läheistensä yhteisöllisyyden ja osallistumismahdollisuuksien edistämiseen monimuotoisella vertaistukitoiminnalla (Valtakunnallinen vapaaehtois- ja vertaistoiminta) (133 980 €) | Ak 11729: Yli 60-vuotiaiden ikääntyvien suolistosairauksia sairastavien ja heidän läheistensä voimavarojen lisäämiseen ryhmämuotoisen toiminnan avulla sekä tiedon jakamiseen eri viestintäkanavissa (78 000 €) | Ak 2: Tulehduksellista suolistosairautta (IBD) sairastavien ja heidän läheistensä hyvinvoinnin edistämiseen ammatillisesti ohjatun, vertaistuellisen ja tavoitteellisen ryhmätoiminnan keinoin (60 607 €)</t>
        </is>
      </c>
    </row>
    <row r="141">
      <c r="A141" s="2">
        <v>140</v>
      </c>
      <c r="B141" s="2">
        <v>39</v>
      </c>
      <c r="C141" t="inlineStr" s="0">
        <is>
          <t>LAHDEN DIAKONIASÄÄTIÖ</t>
        </is>
      </c>
      <c r="D141" s="2">
        <v>511350.0</v>
      </c>
      <c r="E141" s="2">
        <v>511350.0</v>
      </c>
      <c r="F141" s="2">
        <v>0.0</v>
      </c>
      <c r="G141" s="2">
        <v>100.0</v>
      </c>
      <c r="H141" s="2">
        <v>2</v>
      </c>
      <c r="I141" t="inlineStr" s="0">
        <is>
          <t>Ak 6: Pikkulapsiperheiden, nuorten ja ikääntyneiden osallisuuden lisäämiseen ja yksilölliseen tukemiseen arjen haasteissa vapaaehtoistoiminnan keinoin (Särö-vapaaehtoistoiminta) (313 950 €) | Ak 4049: Vuorovaikutukseen keskittyvän tuen tarjoamiseen äitiyttä tai vauvaa kohtaan ristiriitaisia tunteita kokeville äideille pienryhmä- ja yksilötyöskentelyn keinoin (Vauvan Taika) (197 400 €)</t>
        </is>
      </c>
    </row>
    <row r="142">
      <c r="A142" s="2">
        <v>141</v>
      </c>
      <c r="B142" s="2">
        <v>224</v>
      </c>
      <c r="C142" t="inlineStr" s="0">
        <is>
          <t>HIV-SÄÄTIÖ</t>
        </is>
      </c>
      <c r="D142" s="2">
        <v>509250.0</v>
      </c>
      <c r="E142" s="2">
        <v>509250.0</v>
      </c>
      <c r="F142" s="2">
        <v>0.0</v>
      </c>
      <c r="G142" s="2">
        <v>100.0</v>
      </c>
      <c r="H142" s="2">
        <v>1</v>
      </c>
      <c r="I142" t="inlineStr" s="0">
        <is>
          <t>Ak 7: Hiv-tartuntojen ehkäisemiseen sekä hiv-tartunnan saaneiden, heidän läheistensä sekä hiv-tartunnasta huolestuneiden tukemiseen, neuvontaan ja ohjaukseen. (509 250 €)</t>
        </is>
      </c>
    </row>
    <row r="143">
      <c r="A143" s="2">
        <v>142</v>
      </c>
      <c r="B143" s="2">
        <v>383</v>
      </c>
      <c r="C143" t="inlineStr" s="0">
        <is>
          <t>Mannerheimin Lastensuojeluliiton Pohjois-Suomen piiri ry</t>
        </is>
      </c>
      <c r="D143" s="2">
        <v>507132.0</v>
      </c>
      <c r="E143" s="2">
        <v>430437.0</v>
      </c>
      <c r="F143" s="2">
        <v>76695.0</v>
      </c>
      <c r="G143" s="2">
        <v>84.9</v>
      </c>
      <c r="H143" s="2">
        <v>4</v>
      </c>
      <c r="I143" t="inlineStr" s="0">
        <is>
          <t>Ak 11069: Alaikäisten lasten vanhempien ja maahan tulleiden äitien vanhemmuuden tukemiseen ja kotoutumisen edistämiseen sekä kouluikäisten lasten yksinäisyyden ehkäisemiseen, alakouluikäisten lasten koulumyönteisyyden lisäämiseen, sukupolvien välisen kohtaamisten mahdollistamiseen, lukemissujuvuuden edistämiseen ja ammatillisesti ohjatun mielekkään vapaaehtoistoiminnan koordinointiin Pohjois-Suomen piirin alueella (MLL:n Pohjois-Suomen piirin Perhekummi-, Ystäväksi maahanmuuttajaäidille-, Kaveri- ja Sukupolvitoiminta) (217 765 €) | Ak 1198: Lapsiperheiden hyvinvoinnin ja osallisuuden edistämiseen sekä varhaiseen tukemiseen avoimen kohtaamispaikkatoiminnan, vertaisryhmien, yksilöllisen ohjauksen ja moniammatillisen yhteistyön keinoin (PerhePesä - Yhdessä toimien perheiden parhaaksi) (184 172 €) | C 13824: Euroopan sosiaalirahasto plussan (ESR+) hankkeen "Omanlaisena Yhdessä" osarahoitukseen järjestölle (2026-2028) (76 695 €) | Ak 11085: Jäsenjärjestöille kohdistettaviin avustuksiin. (28 500 €)</t>
        </is>
      </c>
    </row>
    <row r="144">
      <c r="A144" s="2">
        <v>143</v>
      </c>
      <c r="B144" s="2">
        <v>945</v>
      </c>
      <c r="C144" t="inlineStr" s="0">
        <is>
          <t>Tukenasi ry, Till ditt stöd rf.</t>
        </is>
      </c>
      <c r="D144" s="2">
        <v>506608.0</v>
      </c>
      <c r="E144" s="2">
        <v>359975.0</v>
      </c>
      <c r="F144" s="2">
        <v>146633.0</v>
      </c>
      <c r="G144" s="2">
        <v>71.1</v>
      </c>
      <c r="H144" s="2">
        <v>4</v>
      </c>
      <c r="I144" t="inlineStr" s="0">
        <is>
          <t>Ak 4: Vaikeissa elämänmuutostilanteissa olevien yli 65 -vuotiaiden psykososiaalisen hyvinvoinnin tukemiseen ryhmämuotoisen tuen ja tukihenkilötoiminnan keinoin (Senioripysäkki) (154 350 €) | Ay 1165: Yleisavustuksena avustuksen saajan yleishyödylliseen toimintaan (146 633 €) | Ak 3: Erityistä tukea tarvitsevien nuorten aikuisten asumisen- ja taloudenhallinnan taitojen tukemiseen vapaaehtoistoiminnan ja asumissosiaalisen tuen keinoin (116 375 €) | Ak 3749: Erityistä tukea tarvitsevien nuorten opiskelu- ja työelämävalmiuksien tukemiseen vapaaehtoistoiminnan avulla (Oma Koutsi) (89 250 €)</t>
        </is>
      </c>
    </row>
    <row r="145">
      <c r="A145" s="2">
        <v>144</v>
      </c>
      <c r="B145" s="2">
        <v>870</v>
      </c>
      <c r="C145" t="inlineStr" s="0">
        <is>
          <t>PSYKOSOCIALA FÖRBUNDET RF</t>
        </is>
      </c>
      <c r="D145" s="2">
        <v>505399.0</v>
      </c>
      <c r="E145" s="2">
        <v>188887.0</v>
      </c>
      <c r="F145" s="2">
        <v>316512.0</v>
      </c>
      <c r="G145" s="2">
        <v>37.4</v>
      </c>
      <c r="H145" s="2">
        <v>3</v>
      </c>
      <c r="I145" t="inlineStr" s="0">
        <is>
          <t>Ay 1: Som allmänt understöd för understödstagarens allmännyttiga verksamhet (316 512 €) | Ak 2: För att stöda livskontrollen- och hanteringen hos svenskspråkiga personer med psykisk ohälsa eller psykosocial funktionsnedsättning samt deras anhöriga med hjälp av psykosocial kursverksamhet, rådgivning och kamratstöd (168 887 €) | Ak 6: För understöd som allokeras till medlemsorganisationer (20 000 €)</t>
        </is>
      </c>
    </row>
    <row r="146">
      <c r="A146" s="2">
        <v>145</v>
      </c>
      <c r="B146" s="2">
        <v>639</v>
      </c>
      <c r="C146" t="inlineStr" s="0">
        <is>
          <t>TampereMissio ry</t>
        </is>
      </c>
      <c r="D146" s="2">
        <v>501340.0</v>
      </c>
      <c r="E146" s="2">
        <v>395500.0</v>
      </c>
      <c r="F146" s="2">
        <v>105840.0</v>
      </c>
      <c r="G146" s="2">
        <v>78.9</v>
      </c>
      <c r="H146" s="2">
        <v>5</v>
      </c>
      <c r="I146" t="inlineStr" s="0">
        <is>
          <t>Ak 3: Ikääntyvien mielenterveyden ja hyvinvoinnin tukemiseen ryhmätoiminnan, yksilö- ja parikeskustelujen sekä ikätukitoiminnan avulla (Senioripysäkki-toiminta) (167 000 €) | Ak 9: Kehitysvammaisten ja erityistä tukea tarvitsevien nuorten ja aikuisten yksinäisyyden lieventämiseen ja omaehtoisen aktiivisuuden tukemiseen kohtaamispaikkatoiminnan ja jalkautuvan työn avulla (Iltalinjalla) (118 650 €) | Ay 2716: Yleisavustuksena avustuksen saajan yleishyödylliseen toimintaan (105 840 €) | Ak 9724: Ikääntyneiden hyvinvointia tukevaan yhteisölliseen, toiminnalliseen ja vertaisesti ohjautuvaan kerhotoimintaan Pirkanmaalla (Likellä-kerhotoiminta) (59 850 €) | Ak 2: Yksinäisyyden vähentämiseen ja toimintakyvyn ylläpitämiseen vapaaehtoisten ylläpitämän keskustelevan päivystyspuhelintoiminnan avulla (Aamukorva) (50 000 €)</t>
        </is>
      </c>
    </row>
    <row r="147">
      <c r="A147" s="2">
        <v>146</v>
      </c>
      <c r="B147" s="2">
        <v>240</v>
      </c>
      <c r="C147" t="inlineStr" s="0">
        <is>
          <t>LEIRIKESÄ RY</t>
        </is>
      </c>
      <c r="D147" s="2">
        <v>500000.0</v>
      </c>
      <c r="E147" s="2">
        <v>500000.0</v>
      </c>
      <c r="F147" s="2">
        <v>0.0</v>
      </c>
      <c r="G147" s="2">
        <v>100.0</v>
      </c>
      <c r="H147" s="2">
        <v>1</v>
      </c>
      <c r="I147" t="inlineStr" s="0">
        <is>
          <t>Ak 1: Lasten lomatoimintaan terveyden ja hyvinvoinnin edistämiseksi (500 000 €)</t>
        </is>
      </c>
    </row>
    <row r="148">
      <c r="A148" s="2">
        <v>147</v>
      </c>
      <c r="B148" s="2">
        <v>796</v>
      </c>
      <c r="C148" t="inlineStr" s="0">
        <is>
          <t>Pakolaisnuorten tuki ry</t>
        </is>
      </c>
      <c r="D148" s="2">
        <v>498650.0</v>
      </c>
      <c r="E148" s="2">
        <v>498650.0</v>
      </c>
      <c r="F148" s="2">
        <v>0.0</v>
      </c>
      <c r="G148" s="2">
        <v>100.0</v>
      </c>
      <c r="H148" s="2">
        <v>3</v>
      </c>
      <c r="I148" t="inlineStr" s="0">
        <is>
          <t>Ak 2: Vapaaehtois- ja vertaistoiminnan koordinointiin ja maahanmuuttajataustaisten poikien ja nuorten miesten osallisuuden ja aktivoinnin tukemiseen Tampereella  (Vapari-toiminta) (181 650 €) | Ak 9653: Maahanmuuttajataustaisten vanhempien tukemiseen 7-16-vuotiaiden nuorten kasvatuksessa yksilöllisen tuen ja ryhmätoimintojen avulla sekä tietoisuuden lisäämiseen pakolaisperheiden vanhemmuudesta Tampereella (Avaamo) (175 000 €) | Ak 9652: Pakolaistaustaisten työttömien 18-29-vuotiaiden nuorten miesten toimintakyvyn ja mielenterveyden tukemiseen ryhmätoiminnalla ja yksilöllisellä tuella sekä nuorten kanssa työskentelevien ammattilaisten kouluttamiseen ja julkisten palvelujen yhteiskehittämiseen pakolaisnuorten kohtaamisen ja tukemisen parantamiseksi (142 000 €)</t>
        </is>
      </c>
    </row>
    <row r="149">
      <c r="A149" s="2">
        <v>148</v>
      </c>
      <c r="B149" s="2">
        <v>1115</v>
      </c>
      <c r="C149" t="inlineStr" s="0">
        <is>
          <t>Oulun seudun omaishoitajat ry</t>
        </is>
      </c>
      <c r="D149" s="2">
        <v>493000.0</v>
      </c>
      <c r="E149" s="2">
        <v>318000.0</v>
      </c>
      <c r="F149" s="2">
        <v>175000.0</v>
      </c>
      <c r="G149" s="2">
        <v>64.5</v>
      </c>
      <c r="H149" s="2">
        <v>3</v>
      </c>
      <c r="I149" t="inlineStr" s="0">
        <is>
          <t>Ak 2295: Omaishoitajien tukemiseen ja heidän voimavarojensa lisäämiseen alueellisen matalan kynnyksen toiminnan, vapaaehtoistoiminnan, puhelin- ja chatneuvonnan sekä kokemusasiantuntijoiden vaikuttamistoiminnan avulla Oulun seudulla (Ihmisen lähelle) (183 000 €) | Ay 1107: Yleisavustuksena avustuksen saajan yleishyödylliseen toimintaan (175 000 €) | Ak 11632: Erityislapsiperheiden tukemiseen koko perheen sekä vanhempien välisen suhteen näkökulmasta teemallisten ryhmien, yksilöllisen tuen ja tiedotuksen avulla (Hyvinvoiva perhe) (135 000 €)</t>
        </is>
      </c>
    </row>
    <row r="150">
      <c r="A150" s="2">
        <v>149</v>
      </c>
      <c r="B150" s="2">
        <v>585</v>
      </c>
      <c r="C150" t="inlineStr" s="0">
        <is>
          <t>SATAKUNNAN SININAUHA RY</t>
        </is>
      </c>
      <c r="D150" s="2">
        <v>487892.0</v>
      </c>
      <c r="E150" s="2">
        <v>438350.0</v>
      </c>
      <c r="F150" s="2">
        <v>49542.0</v>
      </c>
      <c r="G150" s="2">
        <v>89.8</v>
      </c>
      <c r="H150" s="2">
        <v>5</v>
      </c>
      <c r="I150" t="inlineStr" s="0">
        <is>
          <t>Ak 10915: Kodin ulkopuoliseen väkivaltaan syyllistyneiden tai syyllistymisriskissä olevien väkivaltaisen käyttäytymisen vähentämiseen ja ehkäisemiseen yksilöllisen asiakastyön ja verkostotyön avulla (151 200 €) | Ak 10911: Matalan kynnyksen tukeen ja neuvontaan rahapelihaittoja kokeville sekä ongelmapelaamisen ennaltaehkäisyyn (Tiltti Satakunta) (133 350 €) | Ak 9519: Työstä ja koulutuksesta syrjässä tai syrjäytymisvaarassa oleville ja yksinäisyyttä kokeville 16-29-vuotiaille nuorille suunnattuun yksinäisyyttä vähentävään ja digiosaamista, hyvinvointia ja osallisuuden kokemusta vahvistavaan digiverstastoimintaan Porissa (79 800 €) | Ak 5441: Päihde- ja mielenterveysongelmaisten sekä heidän läheistensä arjessa selviytymisen ja jaksamisen tukemiseen vapaaehtoistoiminnan, ryhmätoiminnan ja kohtaamispaikkatoiminnan avulla (74 000 €) | C 13668: Euroopan sosiaalirahasto plussan (ESR+) hankkeen "Juho – Joustavia Uudistuksia ja Hyvinvointia Osallisuudesta" (Hankekoodi S31484) osarahoitukseen järjestölle (2026-2028) (49 542 €)</t>
        </is>
      </c>
    </row>
    <row r="151">
      <c r="A151" s="2">
        <v>150</v>
      </c>
      <c r="B151" s="2">
        <v>787</v>
      </c>
      <c r="C151" t="inlineStr" s="0">
        <is>
          <t>Tampereen A-Kilta ry</t>
        </is>
      </c>
      <c r="D151" s="2">
        <v>482905.0</v>
      </c>
      <c r="E151" s="2">
        <v>482905.0</v>
      </c>
      <c r="F151" s="2">
        <v>0.0</v>
      </c>
      <c r="G151" s="2">
        <v>100.0</v>
      </c>
      <c r="H151" s="2">
        <v>3</v>
      </c>
      <c r="I151" t="inlineStr" s="0">
        <is>
          <t>Ak 1: Päihdetoipujien ja mielenterveyskuntoutujien toimintakyvyn vahvistamiseen päihteettömällä yhdyskuntatupatyöllä ja palveluohjauksella sekä vapaaehtois- ja vertaistoiminnalla (304 155 €) | Ak 6: Asumisen ja elämänhallinnan kanssa vaikeuksissa olevien naisten tukemiseen etsivän työn, palveluohjauksen, yksilöllisen tuen ja ryhmätoiminnan avulla (105 798 €) | Ak 2: Päihdeongelmaisten nuorten aikuisten päihteettömyyttä tukevaan ryhmämuotoiseen toimintaan (Hunaja-toiminta) (72 952 €)</t>
        </is>
      </c>
    </row>
    <row r="152">
      <c r="A152" s="2">
        <v>151</v>
      </c>
      <c r="B152" s="2">
        <v>303</v>
      </c>
      <c r="C152" t="inlineStr" s="0">
        <is>
          <t>KEHITYSVAMMATUKI 57 RY</t>
        </is>
      </c>
      <c r="D152" s="2">
        <v>482900.0</v>
      </c>
      <c r="E152" s="2">
        <v>293024.0</v>
      </c>
      <c r="F152" s="2">
        <v>189876.0</v>
      </c>
      <c r="G152" s="2">
        <v>60.7</v>
      </c>
      <c r="H152" s="2">
        <v>4</v>
      </c>
      <c r="I152" t="inlineStr" s="0">
        <is>
          <t>Ay 7397: Yleisavustuksena avustuksen saajan yleishyödylliseen toimintaan (189 876 €) | Ak 8: Kehitysvammaisten ja vastaavaa laaja-alaista tukea tarvitsevien ihmisten osallisuuden ja vapaa-ajan toimintoihin osallistumisen mahdollistamiseen, sosiaalisen verkoston laajentamiseen ja yksinäisyyden vähentämiseen kaveri-, vertais- ja vapaaehtoistoiminnan sekä tuetun vapaaehtoistoiminnan avulla. (127 674 €) | Ak 1: Kehitysvammaisten ja vastaavaa laaja-alaista tukea tarvitsevien nuorten, aikuisten, ikääntyneiden ja seksuaalivähemmistöihin kuuluvien osallisuuden tukemiseen ja sosiaalisten verkostojen laajentamiseen matalan kynnyksen Ystävätupa- kohtaamispaikkatoiminnan, vertaistuen ja virkistystoiminnan avulla. (90 800 €) | Ak 2: Kehitysvammaisten ja vastaavaa laaja-alaista tukea tarvitsevien lasten ja nuorten vanhempien arjen tilapäiseen helpottamiseen ja jaksamisen tukemiseen parkkitoiminnan ja vertaistuen avulla (74 550 €)</t>
        </is>
      </c>
    </row>
    <row r="153">
      <c r="A153" s="2">
        <v>152</v>
      </c>
      <c r="B153" s="2">
        <v>441</v>
      </c>
      <c r="C153" t="inlineStr" s="0">
        <is>
          <t>Kirkkopalvelut ry</t>
        </is>
      </c>
      <c r="D153" s="2">
        <v>476437.0</v>
      </c>
      <c r="E153" s="2">
        <v>476437.0</v>
      </c>
      <c r="F153" s="2">
        <v>0.0</v>
      </c>
      <c r="G153" s="2">
        <v>100.0</v>
      </c>
      <c r="H153" s="2">
        <v>4</v>
      </c>
      <c r="I153" t="inlineStr" s="0">
        <is>
          <t>Ak 2649: Päihteitä käyttävien miesten isyyden parempaan huomioimiseen palvelujärjestelmässä sekä päihteiden käytöstä johtuvia haittoja kokevien isien päihteettömyyden tukemiseen, isyyden ja osallisuuden vahvistamiseen sekä vanhemmuuden tukemiseen, jotta päihteistä kuntoutuminen ja kohtaaminen tapahtuisi ensisijaisesti isänä ja vanhempana (Erityisesti isä) (143 177 €) | Ak 1: Päihteitä käyttävien naisten sekä läheisten aseman parantamiseen ja toipumisen edistämiseen, päihde- ja riippuvuustyötä tekevien järjestöjen ja päihteitä käyttäviä asiakkaita kohtaavien ammattilaisten keskinäisen yhteistyön edistämiseen, asiantuntijuuden vaihtoon sekä osaamisen ja menetelmien kehittämiseen yli sektori- ja kuntarajojen Itä-Suomen alueella (141 899 €) | Ak 7754: Vapaaehtoistoiminnan kysynnän ja tarjonnan kohtaamisen edistämiseen Vapaaehtoistyö.fi-verkkopalvelun avulla (115 976 €) | Ak 10308: Ruoka-aputoiminnan tavoittavuuden, verkostoyhteistyön ja tiedolla johtamisen edistämiseen ruoka-apu.fi-verkkopalvelun jatkokehittämisen, ylläpidon ja levittämisen avulla (75 385 €)</t>
        </is>
      </c>
    </row>
    <row r="154">
      <c r="A154" s="2">
        <v>153</v>
      </c>
      <c r="B154" s="2">
        <v>987</v>
      </c>
      <c r="C154" t="inlineStr" s="0">
        <is>
          <t>TATU RY</t>
        </is>
      </c>
      <c r="D154" s="2">
        <v>468870.0</v>
      </c>
      <c r="E154" s="2">
        <v>468870.0</v>
      </c>
      <c r="F154" s="2">
        <v>0.0</v>
      </c>
      <c r="G154" s="2">
        <v>100.0</v>
      </c>
      <c r="H154" s="2">
        <v>3</v>
      </c>
      <c r="I154" t="inlineStr" s="0">
        <is>
          <t>Ak 6: Tapaturmaisesti ja potilasvahingon vuoksi vammautuneiden tai sairastuneiden alle 30-vuotiaiden lasten, nuorten ja heidän läheistensä arjenhallinnan ja hyvinvoinnin vahvistamiseen vertaistuen ja vapaaehtoistoiminnan keinoin - Tietoa, tukea ja ohjausta tarjoavan palvelupolkusivuston kehittämiseen ja ylläpitämiseen (Palveluja perheen parhaaksi) (203 090 €) | Ak 10943: Erityistä tukea tarvitsevien lasten ja alle 30-vuotiaiden nuorten sekä heidän perheidensä yhdenvertaisuuden, osallisuuden ja voimavarojen lisäämiseen Pohjois-Savossa harrastusryhmätoimintojen, tapahtumien ja tietoisuuden vahvistamisen avulla (200 000 €) | Ak 7479: Potilasvahingon kokeneiden, narkolepsiaan sairastuneiden, aivoverenkierron häiriön, aivoverenvuodon tai aivokasvaimen jälkitiloista oireilevien sekä ilman vakuutusturvaa olevien tapaturmaisesti vammautuneiden (esim. aivovamma, palovamma, selkäydinvamma) lasten, nuorten (16-29 vuotta) ja heidän läheistensä toimintakyvyn tukemiseen tiedon, verkostotyön, vertaistuen ja kurssitoiminnan avulla. (65 780 €)</t>
        </is>
      </c>
    </row>
    <row r="155">
      <c r="A155" s="2">
        <v>154</v>
      </c>
      <c r="B155" s="2">
        <v>167</v>
      </c>
      <c r="C155" t="inlineStr" s="0">
        <is>
          <t>PIRKANMAAN MUISTIYHDISTYS RY</t>
        </is>
      </c>
      <c r="D155" s="2">
        <v>466473.0</v>
      </c>
      <c r="E155" s="2">
        <v>466473.0</v>
      </c>
      <c r="F155" s="2">
        <v>0.0</v>
      </c>
      <c r="G155" s="2">
        <v>100.0</v>
      </c>
      <c r="H155" s="2">
        <v>1</v>
      </c>
      <c r="I155" t="inlineStr" s="0">
        <is>
          <t>Ak 2: Muistisairauksien asiantuntija- ja tukikeskuksen toimintaan ja muistisairaiden ja heidän läheistensä tukemiseen Pirkanmaalla - vertaisryhmätoiminnalla - ohjauksella ja neuvonnalla - vapaaehtoistoiminnalla - tiedotuksella - edunvalvonnalla (Muistiluotsi) (466 473 €)</t>
        </is>
      </c>
    </row>
    <row r="156">
      <c r="A156" s="2">
        <v>155</v>
      </c>
      <c r="B156" s="2">
        <v>226</v>
      </c>
      <c r="C156" t="inlineStr" s="0">
        <is>
          <t>KAAKKOIS-SUOMEN SININAUHA RY</t>
        </is>
      </c>
      <c r="D156" s="2">
        <v>460828.0</v>
      </c>
      <c r="E156" s="2">
        <v>460828.0</v>
      </c>
      <c r="F156" s="2">
        <v>0.0</v>
      </c>
      <c r="G156" s="2">
        <v>100.0</v>
      </c>
      <c r="H156" s="2">
        <v>2</v>
      </c>
      <c r="I156" t="inlineStr" s="0">
        <is>
          <t>Ak 3: Päihde- ja mielenterveyshaasteita tai yksinäisyyttä kokevien arjenhallinnan tukemiseen ja yksinäisyyden vähentämiseen kohtaamispaikkatoiminnan avulla sekä asunnottomien asumistilanteen kohentamiseen jalkautuvalla yksilöllisellä tuella Kotka-Haminan alueella (320 828 €) | Ak 11988: Päihteitä käyttävien ja syrjäytymisvaarassa olevien arjenhallintataitojen ja osallisuuden lisäämiseen kohtaamispaikkatoiminnan ja jalkautuvan työn avulla (140 000 €)</t>
        </is>
      </c>
    </row>
    <row r="157">
      <c r="A157" s="2">
        <v>156</v>
      </c>
      <c r="B157" s="2">
        <v>970</v>
      </c>
      <c r="C157" t="inlineStr" s="0">
        <is>
          <t>ROVALAN SETLEMENTTI RY</t>
        </is>
      </c>
      <c r="D157" s="2">
        <v>452253.0</v>
      </c>
      <c r="E157" s="2">
        <v>452253.0</v>
      </c>
      <c r="F157" s="2">
        <v>0.0</v>
      </c>
      <c r="G157" s="2">
        <v>100.0</v>
      </c>
      <c r="H157" s="2">
        <v>3</v>
      </c>
      <c r="I157" t="inlineStr" s="0">
        <is>
          <t>Ak 10374: Huumeita käyttävien hyvinvointia ja osallisuutta lisäävään kohtaamispaikkatoimintaan, neuvontaan sekä vertais- ja pienryhmätoimintaan Rovaniemen alueella (Osallisuuskeskus OODI) (196 193 €) | Ak 4: Matalan kynnyksen kohtaamispaikkatoimintaan maahanmuuttajille kotoutumisen edistämiseksi (Moninet) (132 300 €) | Ak 2: Matalan kynnyksen kohtaamispaikan avoimeen toimintaan mielenterveyskuntoutujille (Jokkatupa) (123 760 €)</t>
        </is>
      </c>
    </row>
    <row r="158">
      <c r="A158" s="2">
        <v>157</v>
      </c>
      <c r="B158" s="2">
        <v>68</v>
      </c>
      <c r="C158" t="inlineStr" s="0">
        <is>
          <t>Pääkaupunkiseudun omaishoitajat ry, Huvudstadsregionens närståendevårdare rf</t>
        </is>
      </c>
      <c r="D158" s="2">
        <v>452084.0</v>
      </c>
      <c r="E158" s="2">
        <v>252500.0</v>
      </c>
      <c r="F158" s="2">
        <v>199584.0</v>
      </c>
      <c r="G158" s="2">
        <v>55.9</v>
      </c>
      <c r="H158" s="2">
        <v>3</v>
      </c>
      <c r="I158" t="inlineStr" s="0">
        <is>
          <t>Ay 2241: Yleisavustuksena avustuksen saajan yleishyödylliseen toimintaan (199 584 €) | Ak 4: Työikäisten, ikääntyneiden ja omaishoitotilanteen ohittaneiden omaishoitajien kokonaisvaltaiseen tukemiseen ohjauksen, neuvonnan,  tiedotuksen ja edunvalvonnan sekä vapaaehtois-, vertais- ja kokemusasiantuntijatoiminnan avulla Helsingin, Vantaan ja Keravan alueella (Kolmipyöräinen) (170 500 €) | Ak 3774: Maahanmuuttajataustaisten omaishoitoperheiden osallisuuden, yhdenvertaisuuden ja elämänhallinnan vahvistamiseen sekä syrjäytymisen ehkäisyyn ohjauksen ja neuvonnan, vertais- ja ryhmätoiminnan sekä vapaaehtoisten ja ammattilaisten kouluttamisen avulla (Omaisneuvo) (82 000 €)</t>
        </is>
      </c>
    </row>
    <row r="159">
      <c r="A159" s="2">
        <v>158</v>
      </c>
      <c r="B159" s="2">
        <v>915</v>
      </c>
      <c r="C159" t="inlineStr" s="0">
        <is>
          <t>SUOMEN KLUBITALOT RY, FINLANDS KLUBBHUS RF</t>
        </is>
      </c>
      <c r="D159" s="2">
        <v>450215.0</v>
      </c>
      <c r="E159" s="2">
        <v>450215.0</v>
      </c>
      <c r="F159" s="2">
        <v>0.0</v>
      </c>
      <c r="G159" s="2">
        <v>100.0</v>
      </c>
      <c r="H159" s="2">
        <v>2</v>
      </c>
      <c r="I159" t="inlineStr" s="0">
        <is>
          <t>Ak 10388: Mielenterveystoipujia tukevan klubitaloverkoston toiminnan kehittämiseen, kohderyhmän hyvinvoinnissa tapahtuvien muutosten todentamiseen sekä osallisuuden lisäämiseen (267 015 €) | Ak 12629: Mielenterveystoipujien toimintakyvyn lisäämiseen verkkomuotoisella klubitalotoiminnalla (eKlubitalo) (183 200 €)</t>
        </is>
      </c>
    </row>
    <row r="160">
      <c r="A160" s="2">
        <v>159</v>
      </c>
      <c r="B160" s="2">
        <v>701</v>
      </c>
      <c r="C160" t="inlineStr" s="0">
        <is>
          <t>Turun Setlementti ry</t>
        </is>
      </c>
      <c r="D160" s="2">
        <v>445971.0</v>
      </c>
      <c r="E160" s="2">
        <v>445971.0</v>
      </c>
      <c r="F160" s="2">
        <v>0.0</v>
      </c>
      <c r="G160" s="2">
        <v>100.0</v>
      </c>
      <c r="H160" s="2">
        <v>2</v>
      </c>
      <c r="I160" t="inlineStr" s="0">
        <is>
          <t>Ak 4307: Tyttöjen osallisuuden ja vuorovaikutustaitojen tukemiseen sekä yksinäisyyden vähentämiseen Turun Varissuon alueella ryhmämuotoisen sukupuoli- ja kulttuurisensitiivisen vapaa-ajan toiminnan ja perheisiin kohdistuvan kotinuorisotyön avulla  (Turun Tyttöjen Talo Varissuolla) (236 700 €) | Ak 2: Yksinäisten, masentuneiden, sosiaalisesti syrjäytyneiden, monikulttuuristen, psyykkisesti oireilevien ja muiden erityistä tukea tarvitsevien tyttöjen ja nuorten naisten matalankynnyksen toimintaan sekä ryhmä- ja yksilötukeen ja seksuaalista väkivaltaa kokeneiden tukeen (Turun Tyttöjen Talo) (209 271 €)</t>
        </is>
      </c>
    </row>
    <row r="161">
      <c r="A161" s="2">
        <v>160</v>
      </c>
      <c r="B161" s="2">
        <v>1095</v>
      </c>
      <c r="C161" t="inlineStr" s="0">
        <is>
          <t>Lasten Kesä r.y.</t>
        </is>
      </c>
      <c r="D161" s="2">
        <v>439534.0</v>
      </c>
      <c r="E161" s="2">
        <v>439534.0</v>
      </c>
      <c r="F161" s="2">
        <v>0.0</v>
      </c>
      <c r="G161" s="2">
        <v>100.0</v>
      </c>
      <c r="H161" s="2">
        <v>1</v>
      </c>
      <c r="I161" t="inlineStr" s="0">
        <is>
          <t>Ak 1: Lasten, nuorten ja lapsiperheiden leirimuotoiseen lomatoimintaan terveyden ja hyvinvoinnin edistämiseksi (439 534 €)</t>
        </is>
      </c>
    </row>
    <row r="162">
      <c r="A162" s="2">
        <v>161</v>
      </c>
      <c r="B162" s="2">
        <v>305</v>
      </c>
      <c r="C162" t="inlineStr" s="0">
        <is>
          <t>YHTEISET LAPSEMME RY</t>
        </is>
      </c>
      <c r="D162" s="2">
        <v>438460.0</v>
      </c>
      <c r="E162" s="2">
        <v>245500.0</v>
      </c>
      <c r="F162" s="2">
        <v>192960.0</v>
      </c>
      <c r="G162" s="2">
        <v>56.0</v>
      </c>
      <c r="H162" s="2">
        <v>3</v>
      </c>
      <c r="I162" t="inlineStr" s="0">
        <is>
          <t>Ay 1: Yleisavustuksena avustuksen saajan yleishyödylliseen toimintaan (192 960 €) | Ak 10040: Ilman huoltajaa tulleiden turvapaikanhakijataustaisten lasten ja nuorten sekä haavoittuvassa asemassa olevien maahan muuttaneiden perheiden lasten kotoutumisen ja hyvinvoinnin tukemiseen vapaaehtoisen tukiperhe- ja tukihenkilötoiminnan keinoin (Yhdessä matkalla - tukiperheestä voimaa kotoutumiseen) (136 500 €) | Ak 1493: Rasismia ja sen haittavaikutuksia ennaltaehkäisevään työpajatoimintaan kulttuurisesti moninaisille 4–9-vuotiaille lapsille ja heidän kanssaan samoissa ryhmissä oleville muille lapsille (109 000 €)</t>
        </is>
      </c>
    </row>
    <row r="163">
      <c r="A163" s="2">
        <v>162</v>
      </c>
      <c r="B163" s="2">
        <v>898</v>
      </c>
      <c r="C163" t="inlineStr" s="0">
        <is>
          <t>Sopimusvuori r.y.</t>
        </is>
      </c>
      <c r="D163" s="2">
        <v>434500.0</v>
      </c>
      <c r="E163" s="2">
        <v>434500.0</v>
      </c>
      <c r="F163" s="2">
        <v>0.0</v>
      </c>
      <c r="G163" s="2">
        <v>100.0</v>
      </c>
      <c r="H163" s="2">
        <v>2</v>
      </c>
      <c r="I163" t="inlineStr" s="0">
        <is>
          <t>Ak 3: Mielenterveyskuntoutujien terveyttä, hyvinvointia, osallisuutta sekä työ- ja opiskeluelämään palaamista edistävään tavoitteelliseen kohtaamispaikkatoimintaan  (Näsinkulman klubitalo) (289 000 €) | Ak 10753: Mielenterveyskuntoutujien terveyttä, hyvinvointia, osallisuutta sekä työ- ja opiskeluelämään palaamista edistävään tavoitteelliseen kohtaamispaikkatoimintaan (Walonkulman Klubitalo) (145 500 €)</t>
        </is>
      </c>
    </row>
    <row r="164">
      <c r="A164" s="2">
        <v>163</v>
      </c>
      <c r="B164" s="2">
        <v>12</v>
      </c>
      <c r="C164" t="inlineStr" s="0">
        <is>
          <t>YHDESSÄ SELVIYTYMISEN TUKI YSTI RY</t>
        </is>
      </c>
      <c r="D164" s="2">
        <v>432442.0</v>
      </c>
      <c r="E164" s="2">
        <v>340059.0</v>
      </c>
      <c r="F164" s="2">
        <v>92383.0</v>
      </c>
      <c r="G164" s="2">
        <v>78.6</v>
      </c>
      <c r="H164" s="2">
        <v>4</v>
      </c>
      <c r="I164" t="inlineStr" s="0">
        <is>
          <t>Ak 2790: Työelämästä syrjässä olevien aikuisten osallisuuden ja yhteisöllisyyden vahvistamiseen päihteettömällä ja avoimella matalan kynnyksen ryhmätoiminnalla sekä ohjauksella Tampereen Hervannassa  (Täky) (143 976 €) | Ak 5: Ikäihmisten, omaishoitajien ja vammaisten toimintakyvyn ylläpitämiseen sekä sosiaalisten suhteiden vahvistamiseen vapaaehtoisverkoston toiminnalla ja koordinaatiolla Tampereen Hervannassa  (Verkko-vapaaehtoistoiminta Hervanta) (113 778 €) | Ay 2140: Yleisavustuksena avustuksen saajan yleishyödylliseen toimintaan (92 383 €) | Ak 4: Lasten ja nuorten osallisuuden ja yhteisöllisyyden vahvistamiseen ennaltaehkäisevällä erityisvarhaisnuorisotyöllä Tampereen Hervannassa (Toimela) (82 305 €)</t>
        </is>
      </c>
    </row>
    <row r="165">
      <c r="A165" s="2">
        <v>164</v>
      </c>
      <c r="B165" s="2">
        <v>316</v>
      </c>
      <c r="C165" t="inlineStr" s="0">
        <is>
          <t>Mannerheimin Lastensuojeluliiton Varsinais-Suomen piiri ry</t>
        </is>
      </c>
      <c r="D165" s="2">
        <v>431168.0</v>
      </c>
      <c r="E165" s="2">
        <v>431168.0</v>
      </c>
      <c r="F165" s="2">
        <v>0.0</v>
      </c>
      <c r="G165" s="2">
        <v>100.0</v>
      </c>
      <c r="H165" s="2">
        <v>2</v>
      </c>
      <c r="I165" t="inlineStr" s="0">
        <is>
          <t>Ak 1274: Alaikäisten lasten vanhempien ja maahanmuuttajaäitien vanhemmuuden ja osallisuuden tukeminen sekä lasten ja nuorten yksinäisyyden ehkäisy, sukupolvien välisen kohtaamisen mahdollistaminen ja lukemissujuvuuden edistäminen ammatillisesti ohjatun vapaaehtoisen tukihenkilötoiminnan keinoin. (Ystäväksi maahanmuuttajaäidille-, Kaveri- ja Perhekummitoiminnat ja sukupolvitoiminta Varsinais-Suomessa) (225 000 €) | Ak 3: Lapsiperheille suunnatun avoimen kohtaamispaikka toiminnan (digitaalinen ja fyysinen) järjestämiseen osana uudistuvaa maakunnallista perhekeskustoimintaverkostoa kumppanuudessa kunnan, seurakunnan, muiden järjestöjen ja vapaaehtoisten kanssa (Avoin kohtaamispaikka Marakatti Turussa sekä Turun Seudun Mamien Facebook -ryhmä) (206 168 €)</t>
        </is>
      </c>
    </row>
    <row r="166">
      <c r="A166" s="2">
        <v>165</v>
      </c>
      <c r="B166" s="2">
        <v>1402</v>
      </c>
      <c r="C166" t="inlineStr" s="0">
        <is>
          <t>Kide-säätiö sr</t>
        </is>
      </c>
      <c r="D166" s="2">
        <v>430418.0</v>
      </c>
      <c r="E166" s="2">
        <v>430418.0</v>
      </c>
      <c r="F166" s="2">
        <v>0.0</v>
      </c>
      <c r="G166" s="2">
        <v>100.0</v>
      </c>
      <c r="H166" s="2">
        <v>2</v>
      </c>
      <c r="I166" t="inlineStr" s="0">
        <is>
          <t>Ak 12398: Väkivaltaisesti käyttäytyvien ja radikalisoituneiden maahanmuuttajanuorten kestävän hyvinvoinnin ja osallisuuden edistämiseen etsivän työn, neuvonnan ja palveluohjauksen keinoin viranomaisyhteistyössä. (300 000 €) | Ak 11126: Vaikeassa sosiaalisessa asemassa olevien neuropsykiatrisesti oireilevien lasten sekä sotatraumoista kärsivien perheiden lasten syrjäytymisriskin pienentämiseen ja itsesäätelyn vahvistamiseen. Vanhempien vertaistukeen. (130 418 €)</t>
        </is>
      </c>
    </row>
    <row r="167">
      <c r="A167" s="2">
        <v>166</v>
      </c>
      <c r="B167" s="2">
        <v>1162</v>
      </c>
      <c r="C167" t="inlineStr" s="0">
        <is>
          <t>SUOMEN SETLEMENTTILIITTO RY</t>
        </is>
      </c>
      <c r="D167" s="2">
        <v>428130.0</v>
      </c>
      <c r="E167" s="2">
        <v>18000.0</v>
      </c>
      <c r="F167" s="2">
        <v>410130.0</v>
      </c>
      <c r="G167" s="2">
        <v>4.2</v>
      </c>
      <c r="H167" s="2">
        <v>2</v>
      </c>
      <c r="I167" t="inlineStr" s="0">
        <is>
          <t>Ay 1: Yleisavustuksena avustuksen saajan yleishyödylliseen toimintaan (410 130 €) | Ak 2702: Jäsenjärjestöille kohdistettaviin avustuksiin (18 000 €)</t>
        </is>
      </c>
    </row>
    <row r="168">
      <c r="A168" s="2">
        <v>167</v>
      </c>
      <c r="B168" s="2">
        <v>938</v>
      </c>
      <c r="C168" t="inlineStr" s="0">
        <is>
          <t>SVENSKA PENSIONÄRSFÖRBUNDET RF</t>
        </is>
      </c>
      <c r="D168" s="2">
        <v>427535.0</v>
      </c>
      <c r="E168" s="2">
        <v>101430.0</v>
      </c>
      <c r="F168" s="2">
        <v>326105.0</v>
      </c>
      <c r="G168" s="2">
        <v>23.7</v>
      </c>
      <c r="H168" s="2">
        <v>2</v>
      </c>
      <c r="I168" t="inlineStr" s="0">
        <is>
          <t>Ay 1: Som allmänt understöd för understödstagarens allmännyttiga verksamhet (326 105 €) | Ak 6: För att stöda den åldrande, svenskspråkiga befolkningens delaktighet i samhället genom att främja kunskaper i informations- och kommunikationsteknologi med hjälp av kamratstöd, individuell handledning, kurser och information (It för seniorer) (101 430 €)</t>
        </is>
      </c>
    </row>
    <row r="169">
      <c r="A169" s="2">
        <v>168</v>
      </c>
      <c r="B169" s="2">
        <v>546</v>
      </c>
      <c r="C169" t="inlineStr" s="0">
        <is>
          <t>Varsinais-Suomen mielenterveysomaiset - FinFami ry</t>
        </is>
      </c>
      <c r="D169" s="2">
        <v>422140.0</v>
      </c>
      <c r="E169" s="2">
        <v>422140.0</v>
      </c>
      <c r="F169" s="2">
        <v>0.0</v>
      </c>
      <c r="G169" s="2">
        <v>100.0</v>
      </c>
      <c r="H169" s="2">
        <v>1</v>
      </c>
      <c r="I169" t="inlineStr" s="0">
        <is>
          <t>Ak 2: Mielenterveys- ja päihdeomaisten hyvinvoinnin, elämänlaadun ja osallisuuden vahvistamiseen omaisneuvonnan, ryhmätoiminnan, vertaistuen, tukihenkilötoiminnan, psykososiaalisen tuen, koulutusten ja vapaaehtoistoiminnan avulla Varsinais-Suomen alueella (422 140 €)</t>
        </is>
      </c>
    </row>
    <row r="170">
      <c r="A170" s="2">
        <v>169</v>
      </c>
      <c r="B170" s="2">
        <v>695</v>
      </c>
      <c r="C170" t="inlineStr" s="0">
        <is>
          <t>MIELI Pohjois-Savon mielenterveys ry</t>
        </is>
      </c>
      <c r="D170" s="2">
        <v>421900.0</v>
      </c>
      <c r="E170" s="2">
        <v>421900.0</v>
      </c>
      <c r="F170" s="2">
        <v>0.0</v>
      </c>
      <c r="G170" s="2">
        <v>100.0</v>
      </c>
      <c r="H170" s="2">
        <v>2</v>
      </c>
      <c r="I170" t="inlineStr" s="0">
        <is>
          <t>Ak 1: Järjestölähtöiseen kriisi- ja mielenterveystyöhön vaikeissa elämäntilanteissa oleville puhelimitse, verkossa, kasvokkain ja ammatillisesti ohjatuissa ryhmissä (Kuopion kriisikeskus) (291 900 €) | Ak 9680: Lähisuhdeväkivaltaa vähentävään turvallisuusfokusoituun väkivaltatyöhön (yksilö- ja paritapaamiset) (130 000 €)</t>
        </is>
      </c>
    </row>
    <row r="171">
      <c r="A171" s="2">
        <v>170</v>
      </c>
      <c r="B171" s="2">
        <v>98</v>
      </c>
      <c r="C171" t="inlineStr" s="0">
        <is>
          <t>Hämeen Setlementti ry</t>
        </is>
      </c>
      <c r="D171" s="2">
        <v>421092.0</v>
      </c>
      <c r="E171" s="2">
        <v>421092.0</v>
      </c>
      <c r="F171" s="2">
        <v>0.0</v>
      </c>
      <c r="G171" s="2">
        <v>100.0</v>
      </c>
      <c r="H171" s="2">
        <v>3</v>
      </c>
      <c r="I171" t="inlineStr" s="0">
        <is>
          <t>Ak 5: Osallisuutta ja arjenhallintaa edistävän matalan kynnyksen kohtaamispaikan ja miestentilan toimintaan sekä vapaaehtoistoiminnan koordinoimiseen (200 900 €) | Ak 11840: OLKA-toimintamallin mukaiseen vapaaehtoistoiminnan suunnitteluun, koordinointiin, kehittämiseen ja toteuttamiseen sekä sairaalan, sen yksiköiden ja järjestöjen yhteistyöhön (OLKA Kanta-Häme) (115 000 €) | Ak 3: Järjestöjen toimintaedellytysten tukemiseen ja yhteistyön vahvistamiseen järjestökeskustoiminnan avulla Hämeenlinnan seudulla ja Kanta-Hämeessä (105 192 €)</t>
        </is>
      </c>
    </row>
    <row r="172">
      <c r="A172" s="2">
        <v>171</v>
      </c>
      <c r="B172" s="2">
        <v>827</v>
      </c>
      <c r="C172" t="inlineStr" s="0">
        <is>
          <t>LAPIN MUISTIYHDISTYS RY</t>
        </is>
      </c>
      <c r="D172" s="2">
        <v>418005.0</v>
      </c>
      <c r="E172" s="2">
        <v>418005.0</v>
      </c>
      <c r="F172" s="2">
        <v>0.0</v>
      </c>
      <c r="G172" s="2">
        <v>100.0</v>
      </c>
      <c r="H172" s="2">
        <v>2</v>
      </c>
      <c r="I172" t="inlineStr" s="0">
        <is>
          <t>Ak 4: Muistisairauksien asiantuntija- ja tukikeskuksen toimintaan ja muistisairaiden ja heidän läheistensä tukemiseen Lapissa - vertaisryhmätoiminnalla - ohjauksella ja neuvonnalla - vapaaehtoistoiminnalla - tiedotuksella - edunvalvonnalla (Muistiluotsi) (355 005 €) | Ak 6929: Lapissa tapahtuvaan aivoterveyden edistämistyöhön tiedottamisen,  kouluttamisen, ryhmätoiminnan ja yhteistyön avulla (MUKU) (63 000 €)</t>
        </is>
      </c>
    </row>
    <row r="173">
      <c r="A173" s="2">
        <v>172</v>
      </c>
      <c r="B173" s="2">
        <v>37</v>
      </c>
      <c r="C173" t="inlineStr" s="0">
        <is>
          <t>Mannerheimin Lastensuojeluliiton Kaakkois-Suomen piiri ry</t>
        </is>
      </c>
      <c r="D173" s="2">
        <v>414039.0</v>
      </c>
      <c r="E173" s="2">
        <v>414039.0</v>
      </c>
      <c r="F173" s="2">
        <v>0.0</v>
      </c>
      <c r="G173" s="2">
        <v>100.0</v>
      </c>
      <c r="H173" s="2">
        <v>2</v>
      </c>
      <c r="I173" t="inlineStr" s="0">
        <is>
          <t>Ak 1077: Alaikäisten lasten vanhempien ja maahanmuuttajaäitien vanhemmuuden ja osallisuuden tukemiseen sekä lasten ja nuorten yksinäisyyden ehkäisemiseen, sukupolvien välisen kohtaamisen mahdollistamiseen ja lukemissujuvuuden edistämiseen ammatillisesti ohjatun vapaaehtoisen tukihenkilötoiminnan keinoin (Ystäväksi maahanmuuttajaäidille-, Kaveri- ja Perhekummitoiminnat sekä Mummi- ja vaaritoiminta Kaakkois-Suomessa) (221 653 €) | Ak 9704: Lapsen äänen ja näkökulman esille tuomiseen vanhempien erotilanteessa ja yhteistyövanhemmuuden tukemiseen kohtaamispaikkatoiminnan ja ammatillisesti ohjattujen vertaisryhmien keinoin. (192 386 €)</t>
        </is>
      </c>
    </row>
    <row r="174">
      <c r="A174" s="2">
        <v>173</v>
      </c>
      <c r="B174" s="2">
        <v>599</v>
      </c>
      <c r="C174" t="inlineStr" s="0">
        <is>
          <t>Yhteisöjen Yhdistys ry</t>
        </is>
      </c>
      <c r="D174" s="2">
        <v>409033.0</v>
      </c>
      <c r="E174" s="2">
        <v>409033.0</v>
      </c>
      <c r="F174" s="2">
        <v>0.0</v>
      </c>
      <c r="G174" s="2">
        <v>100.0</v>
      </c>
      <c r="H174" s="2">
        <v>2</v>
      </c>
      <c r="I174" t="inlineStr" s="0">
        <is>
          <t>Ak 2: Sosiaali- ja terveysalojen Järjestötalon vapaaehtoistoiminnan kehittämiseen, vertaisryhmätoimintaan ja OLKA toimintamallin toteuttamiseen Etelä-Pohjanmaan hyvinvointialueella (220 500 €) | Ak 1: Järjestötalon toimintaan sekä järjestöjen toimintaedellytysten edistämiseen Etelä-Pohjanmaalla (188 533 €)</t>
        </is>
      </c>
    </row>
    <row r="175">
      <c r="A175" s="2">
        <v>174</v>
      </c>
      <c r="B175" s="2">
        <v>268</v>
      </c>
      <c r="C175" t="inlineStr" s="0">
        <is>
          <t>FÖRENINGEN LUCKAN RF</t>
        </is>
      </c>
      <c r="D175" s="2">
        <v>408107.0</v>
      </c>
      <c r="E175" s="2">
        <v>408107.0</v>
      </c>
      <c r="F175" s="2">
        <v>0.0</v>
      </c>
      <c r="G175" s="2">
        <v>100.0</v>
      </c>
      <c r="H175" s="2">
        <v>2</v>
      </c>
      <c r="I175" t="inlineStr" s="0">
        <is>
          <t>Ak 2: För språk- och kulturöverskridande mötesplats med låg tröskel med informations- och vägledningstjänster samt mentor- och frivilligverksamhet för invandrare i huvudstadsregionen, Borgå och samt övriga Nyland (228 107 €) | Ak 12614: För psykosocialt stöd med låg tröskel för svenskspråkiga unga med hjälp av digitala rådgivnings- och chat-tjänster  (Luckan Unginfo) (180 000 €)</t>
        </is>
      </c>
    </row>
    <row r="176">
      <c r="A176" s="2">
        <v>175</v>
      </c>
      <c r="B176" s="2">
        <v>228</v>
      </c>
      <c r="C176" t="inlineStr" s="0">
        <is>
          <t>KRIS-Tampere ry</t>
        </is>
      </c>
      <c r="D176" s="2">
        <v>406530.0</v>
      </c>
      <c r="E176" s="2">
        <v>406530.0</v>
      </c>
      <c r="F176" s="2">
        <v>0.0</v>
      </c>
      <c r="G176" s="2">
        <v>100.0</v>
      </c>
      <c r="H176" s="2">
        <v>2</v>
      </c>
      <c r="I176" t="inlineStr" s="0">
        <is>
          <t>Ak 1: Rikos- ja päihdetaustaisten ihmisten rikoksettoman sekä päihteettömän elämän motivaation ja edellytysten luomiseen ja vahvistamiseen toimintakeskustoiminnan, vertaistyön, perhetyön ja vankilayhteistyön keinoin (KRIS-Tampereen vankila- ja lainrikkojataustaisten vertaistukityö) (246 915 €) | Ak 12647: Rikollisesta elämäntavasta irtaantumisen tukemiseen rikostaustaisten henkilöiden asenteiden ja ajatusmallien muutosta tukevalla kognitiivisella muutosohjelmalla, vertais-ammattilaistyöskentelyllä sekä yksilötyöllä Pirkanmaalla, Hämeenlinnan ja Kylmäkosken vankiloissa sekä Rikosseuraamuslaitoksen yksiköissä (muut vankilat) ja päihdekuntoutuksissa (159 615 €)</t>
        </is>
      </c>
    </row>
    <row r="177">
      <c r="A177" s="2">
        <v>176</v>
      </c>
      <c r="B177" s="2">
        <v>983</v>
      </c>
      <c r="C177" t="inlineStr" s="0">
        <is>
          <t>KUKUNORI RY</t>
        </is>
      </c>
      <c r="D177" s="2">
        <v>406487.0</v>
      </c>
      <c r="E177" s="2">
        <v>406487.0</v>
      </c>
      <c r="F177" s="2">
        <v>0.0</v>
      </c>
      <c r="G177" s="2">
        <v>100.0</v>
      </c>
      <c r="H177" s="2">
        <v>2</v>
      </c>
      <c r="I177" t="inlineStr" s="0">
        <is>
          <t>Ak 7606: Syrjäytyneiden ja syrjäytymisriskissä olevien nuorten aikuisten ja mielenterveyskuntoutujien osallisuuden ja voimavarojen vahvistamiseen verkossa toimivan kulttuuripajan avulla (262 000 €) | Ak 10408: Päihde- ja mielenterveyskuntoutujien sekä yksinäisten ikäihmisten hyvinvoinnin, osallisuuden ja voimavarojen edistämiseen matalan kynnyksen kävelyfutistoiminnalla sekä toiminnan levittämiseen (144 487 €)</t>
        </is>
      </c>
    </row>
    <row r="178">
      <c r="A178" s="2">
        <v>177</v>
      </c>
      <c r="B178" s="2">
        <v>710</v>
      </c>
      <c r="C178" t="inlineStr" s="0">
        <is>
          <t>ERILAISTEN OPPIJOIDEN LIITTO RY</t>
        </is>
      </c>
      <c r="D178" s="2">
        <v>406036.0</v>
      </c>
      <c r="E178" s="2">
        <v>158223.0</v>
      </c>
      <c r="F178" s="2">
        <v>247813.0</v>
      </c>
      <c r="G178" s="2">
        <v>39.0</v>
      </c>
      <c r="H178" s="2">
        <v>3</v>
      </c>
      <c r="I178" t="inlineStr" s="0">
        <is>
          <t>Ay 5: Yleisavustuksena avustuksen saajan yleishyödylliseen toimintaan (247 813 €) | Ak 4072: Oppimista, työntekoa ja arjessa selviytymistä tukevien apuvälineiden tunnettuuden ja käytön edistämiseen yksilöllisen ja ryhmämuotoisen ohjauksen ja neuvonnan avulla sekä koulutuksen ja vaikuttamistyön keinoin. Kohderyhminä henkilöt, jotka kokevat oppimisessa vaikeuksia, heidän läheisensä ja ammattilaiset, jotka kohtaavat työssään erilaisia oppijoita.  (Oppimisen apuvälinekeskus - tukea arkeen, opintoihin, työhön) (147 000 €) | Ak 11: Jäsenjärjestöille kohdistettaviin avustuksiin (11 223 €)</t>
        </is>
      </c>
    </row>
    <row r="179">
      <c r="A179" s="2">
        <v>178</v>
      </c>
      <c r="B179" s="2">
        <v>323</v>
      </c>
      <c r="C179" t="inlineStr" s="0">
        <is>
          <t>Yksin vanhempana ry</t>
        </is>
      </c>
      <c r="D179" s="2">
        <v>400774.0</v>
      </c>
      <c r="E179" s="2">
        <v>138694.0</v>
      </c>
      <c r="F179" s="2">
        <v>262080.0</v>
      </c>
      <c r="G179" s="2">
        <v>34.6</v>
      </c>
      <c r="H179" s="2">
        <v>2</v>
      </c>
      <c r="I179" t="inlineStr" s="0">
        <is>
          <t>Ay 3870: Yleisavustuksena avustuksen saajan yleishyödylliseen toimintaan (262 080 €) | Ak 1: Yhden vanhemman perheiden osallisuuden ja hyvinvoinnin vahvistamiseen vertais- ja vapaaehtoistoiminnan keinoin (138 694 €)</t>
        </is>
      </c>
    </row>
    <row r="180">
      <c r="A180" s="2">
        <v>179</v>
      </c>
      <c r="B180" s="2">
        <v>72</v>
      </c>
      <c r="C180" t="inlineStr" s="0">
        <is>
          <t>Pro Lapinlahti mielenterveysseura ry, Pro Lappviken förening för mental hälsa rf</t>
        </is>
      </c>
      <c r="D180" s="2">
        <v>396616.0</v>
      </c>
      <c r="E180" s="2">
        <v>396616.0</v>
      </c>
      <c r="F180" s="2">
        <v>0.0</v>
      </c>
      <c r="G180" s="2">
        <v>100.0</v>
      </c>
      <c r="H180" s="2">
        <v>2</v>
      </c>
      <c r="I180" t="inlineStr" s="0">
        <is>
          <t>Ak 7704: Mielenterveys- ja päihdekuntoutujien, työelämän ulkopuolella olevien, yksinäisyyttä kokevien ja maahanmuuttajataustaisten henkilöiden osallisuuden, toimintakyvyn ja työelämävalmiuksien vahvistamiseen matalan kynnyksen ryhmätoiminnan, vapaaehtoistyön ja yhteisöllisten tapahtumien avulla Helsingissä (Lapinlahden Lähde) (230 750 €) | Ak 12633: Ulkopuolisuutta kokevien maahanmuuttajien, turvapaikanhakijoiden ja pakolaistaustaisten hyvinvoinnin vahvistamiseen, yksinäisyyden vähentämiseen ja arjen  mielenterveystaitojen tukemiseen ryhmä- ja kurssitoiminnalla sekä  kohderyhmää aktivoivilla tapahtumilla (Miitti) (165 866 €)</t>
        </is>
      </c>
    </row>
    <row r="181">
      <c r="A181" s="2">
        <v>180</v>
      </c>
      <c r="B181" s="2">
        <v>1147</v>
      </c>
      <c r="C181" t="inlineStr" s="0">
        <is>
          <t>Lastensuojelun Keskusliitto ry - Centralförbundet för Barnskydd rf</t>
        </is>
      </c>
      <c r="D181" s="2">
        <v>393747.0</v>
      </c>
      <c r="E181" s="2">
        <v>197336.0</v>
      </c>
      <c r="F181" s="2">
        <v>196411.0</v>
      </c>
      <c r="G181" s="2">
        <v>50.1</v>
      </c>
      <c r="H181" s="2">
        <v>2</v>
      </c>
      <c r="I181" t="inlineStr" s="0">
        <is>
          <t>Ak 10182: Lasten ja perheiden kanssa toimivien järjestöjen valtakunnallisen perhekeskusverkoston koordinointiin sekä perhekeskustoimijoiden yhteistyön vahvistamiseen verkostotyön, osaamisen vahvistamisen sekä viestinnän avulla. (197 336 €) | Ay 1: Yleisavustuksena avustuksen saajan yleishyödylliseen toimintaan (196 411 €)</t>
        </is>
      </c>
    </row>
    <row r="182">
      <c r="A182" s="2">
        <v>181</v>
      </c>
      <c r="B182" s="2">
        <v>778</v>
      </c>
      <c r="C182" t="inlineStr" s="0">
        <is>
          <t>Oulun Seudun Muistiyhdistys ry</t>
        </is>
      </c>
      <c r="D182" s="2">
        <v>391020.0</v>
      </c>
      <c r="E182" s="2">
        <v>391020.0</v>
      </c>
      <c r="F182" s="2">
        <v>0.0</v>
      </c>
      <c r="G182" s="2">
        <v>100.0</v>
      </c>
      <c r="H182" s="2">
        <v>1</v>
      </c>
      <c r="I182" t="inlineStr" s="0">
        <is>
          <t>Ak 4: Muistisairauksien asiantuntija- ja tukikeskuksen toimintaan ja muistisairaiden ja heidän läheistensä tukemiseen Oulun seudulla - vertaisryhmätoiminnalla - ohjauksella ja neuvonnalla - vapaaehtoistoiminnalla - tiedotuksella - edunvalvonnalla (Muistiluotsi) (391 020 €)</t>
        </is>
      </c>
    </row>
    <row r="183">
      <c r="A183" s="2">
        <v>182</v>
      </c>
      <c r="B183" s="2">
        <v>860</v>
      </c>
      <c r="C183" t="inlineStr" s="0">
        <is>
          <t>Suomen Akateemisten Naisten Liitto</t>
        </is>
      </c>
      <c r="D183" s="2">
        <v>389607.0</v>
      </c>
      <c r="E183" s="2">
        <v>356925.0</v>
      </c>
      <c r="F183" s="2">
        <v>32682.0</v>
      </c>
      <c r="G183" s="2">
        <v>91.6</v>
      </c>
      <c r="H183" s="2">
        <v>3</v>
      </c>
      <c r="I183" t="inlineStr" s="0">
        <is>
          <t>Ak 1241: Maahan muuttaneiden, etenkin naisten, osallisuuden ja toimijuuden sekä kaksisuuntaisen kotoutumisen vahvistamiseen vapaaehtoistyönä toteutettavan suomen kielen sekä luku- ja kirjoitustaidon opetuksen avulla  (Luetaan yhdessä -verkosto) (213 885 €) | Ak 11191: Maahan muuttaneiden naisten osallisuuden, työllistymisen ja urakehityksen sekä kaksisuuntaisen kotoutumisen edistämiseen ryhmämuotoisen mentoroinnin, vapaaehtoistoiminnan, verkostoitumisen ja vertaistuen avulla  (Auroras) (143 040 €) | C 13653: Turvapaikka-, maahanmuutto- ja kotouttamisrahaston hankkeen ”Sosiaalista suomea - Toisto-menetelmä kouluihin" osarahoitukseen järjestölle (2026-2028) (32 682 €)</t>
        </is>
      </c>
    </row>
    <row r="184">
      <c r="A184" s="2">
        <v>183</v>
      </c>
      <c r="B184" s="2">
        <v>267</v>
      </c>
      <c r="C184" t="inlineStr" s="0">
        <is>
          <t>YMCA Tampere ry</t>
        </is>
      </c>
      <c r="D184" s="2">
        <v>389548.0</v>
      </c>
      <c r="E184" s="2">
        <v>389548.0</v>
      </c>
      <c r="F184" s="2">
        <v>0.0</v>
      </c>
      <c r="G184" s="2">
        <v>100.0</v>
      </c>
      <c r="H184" s="2">
        <v>2</v>
      </c>
      <c r="I184" t="inlineStr" s="0">
        <is>
          <t>Ak 1: Erityistä tukea tarvitsevien, yksinäisten ja erityispiirteisten nuorten sekä autismin kirjoon kuuluvien nuorten aikuisten kohtaamispaikka- ja yhteisötoimintaan sekä pienryhmätoimintaan Tampereella (Messin tila ja kohtaamispaikka) (231 000 €) | Ak 1470: 15-25-vuotiaiden sosiaalisista peloista, masennuksesta, ahdistuksesta ja arkuudesta sekä paniikkioireista kärsivien nuorten yksilölliseen tukeen ja vertaistoimintaan (Messin paja- ja ohjaustoiminta) (158 548 €)</t>
        </is>
      </c>
    </row>
    <row r="185">
      <c r="A185" s="2">
        <v>184</v>
      </c>
      <c r="B185" s="2">
        <v>961</v>
      </c>
      <c r="C185" t="inlineStr" s="0">
        <is>
          <t>Familia ry</t>
        </is>
      </c>
      <c r="D185" s="2">
        <v>389384.0</v>
      </c>
      <c r="E185" s="2">
        <v>186600.0</v>
      </c>
      <c r="F185" s="2">
        <v>202784.0</v>
      </c>
      <c r="G185" s="2">
        <v>47.9</v>
      </c>
      <c r="H185" s="2">
        <v>2</v>
      </c>
      <c r="I185" t="inlineStr" s="0">
        <is>
          <t>Ay 3216: Yleisavustuksena avustuksen saajan yleishyödylliseen toimintaan (202 784 €) | Ak 2: Kahden kulttuurin perheiden voimavarojen, sosiaalisten verkostojen ja osallisuuden vahvistamiseen vertaisryhmä- ja vapaaehtoistoiminnan, neuvonnan, verkkotoiminnan, viestinnän ja yhteistyön avulla (186 600 €)</t>
        </is>
      </c>
    </row>
    <row r="186">
      <c r="A186" s="2">
        <v>185</v>
      </c>
      <c r="B186" s="2">
        <v>1102</v>
      </c>
      <c r="C186" t="inlineStr" s="0">
        <is>
          <t>Artteli-kumppanuusyhdistys ry</t>
        </is>
      </c>
      <c r="D186" s="2">
        <v>389300.0</v>
      </c>
      <c r="E186" s="2">
        <v>389300.0</v>
      </c>
      <c r="F186" s="2">
        <v>0.0</v>
      </c>
      <c r="G186" s="2">
        <v>100.0</v>
      </c>
      <c r="H186" s="2">
        <v>2</v>
      </c>
      <c r="I186" t="inlineStr" s="0">
        <is>
          <t>Ak 6062: Kumppanuustalo Arttelin toimintaan, järjestöjen välisen yhteistyön edistämiseen ja syventämiseen sekä järjestö- ja kansalaistoiminnan mahdollisuuksien näkyväksi tekemiseen Tampereen seudulla (Voimaa kumppanuudesta - järjestöyhteistyöllä ja yhteiskehittämisellä kohti osallisuutta ja hyvinvointia) (279 300 €) | Ak 12051: Sairaaloissa ja sote-keskuksissa asioivien toimintakyvyn ylläpitämiseen ja arjenhallinnan tukemiseen vapaaehtois- ja vertaistoiminnan avulla (OLKA Pirkanmaa) (110 000 €)</t>
        </is>
      </c>
    </row>
    <row r="187">
      <c r="A187" s="2">
        <v>186</v>
      </c>
      <c r="B187" s="2">
        <v>1072</v>
      </c>
      <c r="C187" t="inlineStr" s="0">
        <is>
          <t>Sirkkulanpuiston toimintayhdistys r.y.</t>
        </is>
      </c>
      <c r="D187" s="2">
        <v>388856.0</v>
      </c>
      <c r="E187" s="2">
        <v>348856.0</v>
      </c>
      <c r="F187" s="2">
        <v>40000.0</v>
      </c>
      <c r="G187" s="2">
        <v>89.7</v>
      </c>
      <c r="H187" s="2">
        <v>4</v>
      </c>
      <c r="I187" t="inlineStr" s="0">
        <is>
          <t>Ak 10208: Huono-osaisten väestöryhmien osallisuuden, arjenhallinnan ja sosiaalisten verkostojen lisäämiseen kohtaamispaikan, vapaaehtoisuuteen pohjautuvan ryhmätoiminnan ja yksilöllisen tuen avulla Kuopiossa (148 838 €) | Ak 10985: Asunnottomien ja asunnottomuusuhan alla olevien henkilöiden elämänlaadun ja -hallinnan lisäämiseen yksilöllisen tuki- ja neuvontatyön avulla Kuopion seudulla (132 501 €) | Ak 4: Päihde- ja mielenterveysongelmista, köyhyydestä tai asunnottomuudesta kärsivien arjenhallinnan tukemiseen ja yksinäisyyden vähentämiseen matalan kynnyksen toiminnan ja vapaaehtoisen kaveritoiminnan avulla, vapaaehtoistyön koordinointiin sekä asunnottomuustyön kehittämiseen vaikuttamistoiminnan avulla (67 517 €) | C 13803: Euroopan sosiaalirahasto plussan (ESR+) hankkeen "Yhdessä ajatuksista aikomuksiksi" (211336) osarahoitukseen järjestölle (2026-2027) (40 000 €)</t>
        </is>
      </c>
    </row>
    <row r="188">
      <c r="A188" s="2">
        <v>187</v>
      </c>
      <c r="B188" s="2">
        <v>1025</v>
      </c>
      <c r="C188" t="inlineStr" s="0">
        <is>
          <t>KÄPY - LAPSIKUOLEMAPERHEET RY</t>
        </is>
      </c>
      <c r="D188" s="2">
        <v>384526.0</v>
      </c>
      <c r="E188" s="2">
        <v>146000.0</v>
      </c>
      <c r="F188" s="2">
        <v>238526.0</v>
      </c>
      <c r="G188" s="2">
        <v>38.0</v>
      </c>
      <c r="H188" s="2">
        <v>2</v>
      </c>
      <c r="I188" t="inlineStr" s="0">
        <is>
          <t>Ay 3: Yleisavustuksena avustuksena saajan yleishyödylliseen toimintaan (238 526 €) | Ak 9881: Surujärjestöjen yhteiseen kokemusasiantuntijatoimintaan ja asiantuntijatoimintaan läheisen varhaista tai äkillistä kuolemaa surevien henkilöiden tuen saannin edistämiseksi valtakunnallisesti (Surevan kohtaaminen). (146 000 €)</t>
        </is>
      </c>
    </row>
    <row r="189">
      <c r="A189" s="2">
        <v>188</v>
      </c>
      <c r="B189" s="2">
        <v>309</v>
      </c>
      <c r="C189" t="inlineStr" s="0">
        <is>
          <t>Joensuun seudun omaishoitajat ry</t>
        </is>
      </c>
      <c r="D189" s="2">
        <v>378570.0</v>
      </c>
      <c r="E189" s="2">
        <v>378570.0</v>
      </c>
      <c r="F189" s="2">
        <v>0.0</v>
      </c>
      <c r="G189" s="2">
        <v>100.0</v>
      </c>
      <c r="H189" s="2">
        <v>2</v>
      </c>
      <c r="I189" t="inlineStr" s="0">
        <is>
          <t>Ak 2: Omaishoitajien toimintakyvyn tukemiseen tiedottamisen, neuvonnan, vertaistoiminnan ja valmennusten avulla Pohjois-Karjalassa (OmaisOiva) (280 500 €) | Ak 10461: Hoivaajan asemassa olevien alle 18-vuotiaiden lasten ja nuorten sekä heidän vanhempiensa kuormittumisen ja syrjäytymisen ennaltaehkäisyyn ja vähentämiseen vertaistuen, yksilöllisen tuen ja virkistäytymismahdollisuuksien avulla (ALISA-toiminta) (98 070 €)</t>
        </is>
      </c>
    </row>
    <row r="190">
      <c r="A190" s="2">
        <v>189</v>
      </c>
      <c r="B190" s="2">
        <v>708</v>
      </c>
      <c r="C190" t="inlineStr" s="0">
        <is>
          <t>Espoon mielenterveysyhdistys EMY ry, Esbo Mentalhälso förening EMF rf</t>
        </is>
      </c>
      <c r="D190" s="2">
        <v>377528.0</v>
      </c>
      <c r="E190" s="2">
        <v>377528.0</v>
      </c>
      <c r="F190" s="2">
        <v>0.0</v>
      </c>
      <c r="G190" s="2">
        <v>100.0</v>
      </c>
      <c r="H190" s="2">
        <v>1</v>
      </c>
      <c r="I190" t="inlineStr" s="0">
        <is>
          <t>Ak 3: Mielenterveyskuntoutujien elämänlaadun ja osallisuuden vahvistamiseen kohtaamispaikkatoiminnoilla ja niiden vapaaehtoistyön koordinaatiolla Espoossa (377 528 €)</t>
        </is>
      </c>
    </row>
    <row r="191">
      <c r="A191" s="2">
        <v>190</v>
      </c>
      <c r="B191" s="2">
        <v>516</v>
      </c>
      <c r="C191" t="inlineStr" s="0">
        <is>
          <t>SUOMENSELÄN MUISTI RY</t>
        </is>
      </c>
      <c r="D191" s="2">
        <v>376586.0</v>
      </c>
      <c r="E191" s="2">
        <v>280586.0</v>
      </c>
      <c r="F191" s="2">
        <v>96000.0</v>
      </c>
      <c r="G191" s="2">
        <v>74.5</v>
      </c>
      <c r="H191" s="2">
        <v>2</v>
      </c>
      <c r="I191" t="inlineStr" s="0">
        <is>
          <t>Ak 2: Muistisairauksien asiantuntija- ja tukikeskuksen toimintaan ja muistisairaiden ja heidän läheistensä tukemiseen Keski-Pohjanmaalla ja Pohjois-Pohjanmaan eteläosassa - vertaisryhmätoiminnalla - ohjauksella ja neuvonnalla - vapaaehtoistoiminnalla - tiedotuksella - edunvalvonnalla (Muistiluotsi) (280 586 €) | C 13786: Euroopan sosiaalirahasto plussan (ESR+) hankkeen "Nuorten aivostudio – Muisti, terveys ja elintavat" osarahoitukseen järjestölle (2026-2028) (96 000 €)</t>
        </is>
      </c>
    </row>
    <row r="192">
      <c r="A192" s="2">
        <v>191</v>
      </c>
      <c r="B192" s="2">
        <v>390</v>
      </c>
      <c r="C192" t="inlineStr" s="0">
        <is>
          <t>Etelä-Karjalan perheiden tuki ry</t>
        </is>
      </c>
      <c r="D192" s="2">
        <v>375603.0</v>
      </c>
      <c r="E192" s="2">
        <v>375603.0</v>
      </c>
      <c r="F192" s="2">
        <v>0.0</v>
      </c>
      <c r="G192" s="2">
        <v>100.0</v>
      </c>
      <c r="H192" s="2">
        <v>3</v>
      </c>
      <c r="I192" t="inlineStr" s="0">
        <is>
          <t>Ak 6: Vauvaperheiden vanhemmuuden, hyvinvoinnin ja vuorovaikutuksen ryhmämuotoiseen tukemiseen (Vauvaperheryhmä Pirpana). Lasten ja lapsiperheiden yksinäisyyden vähentämiseen vapaaehtois- ja vertaistoiminnan keinoin (Perhekerhot, vapaaehtoisdoula-toiminta erityistä tukea tarvitseville lapsiperheille, vertaisryhmät ja tapahtumat). (125 685 €) | Ak 5: Lähi- ja parisuhdeväkivallan ehkäisemiseen ja katkaisemisen yksilö-, pari- ja ryhmätapaamisten sekä tiedottamisen ja koulutuksen keinoin (125 000 €) | Ak 2463: Eroperheiden auttamiseen ja tukemiseen sekä uusperheiden ennaltaehkäisevään tukemiseen yksilö-, pari- ja ryhmätyöskentelyn keinoin ja verkkovälitteiseen auttamiseen (Ero lapsiperheessä -työ) (124 918 €)</t>
        </is>
      </c>
    </row>
    <row r="193">
      <c r="A193" s="2">
        <v>192</v>
      </c>
      <c r="B193" s="2">
        <v>506</v>
      </c>
      <c r="C193" t="inlineStr" s="0">
        <is>
          <t>PÄÄKAUPUNKISEUDUN NUORISOASUNNOT RY</t>
        </is>
      </c>
      <c r="D193" s="2">
        <v>375340.0</v>
      </c>
      <c r="E193" s="2">
        <v>375340.0</v>
      </c>
      <c r="F193" s="2">
        <v>0.0</v>
      </c>
      <c r="G193" s="2">
        <v>100.0</v>
      </c>
      <c r="H193" s="2">
        <v>1</v>
      </c>
      <c r="I193" t="inlineStr" s="0">
        <is>
          <t>Ak 1: Erityistä tukea tarvitsevien nuorten asunnottomuuden ehkäisyyn asumisohjauksella ja -neuvonnalla sekä ryhmätoiminnoilla Helsingissä, Espoossa, Vantaalla ja Kirkkonummella. (375 340 €)</t>
        </is>
      </c>
    </row>
    <row r="194">
      <c r="A194" s="2">
        <v>193</v>
      </c>
      <c r="B194" s="2">
        <v>34</v>
      </c>
      <c r="C194" t="inlineStr" s="0">
        <is>
          <t>Mielen ry</t>
        </is>
      </c>
      <c r="D194" s="2">
        <v>371781.0</v>
      </c>
      <c r="E194" s="2">
        <v>371781.0</v>
      </c>
      <c r="F194" s="2">
        <v>0.0</v>
      </c>
      <c r="G194" s="2">
        <v>100.0</v>
      </c>
      <c r="H194" s="2">
        <v>2</v>
      </c>
      <c r="I194" t="inlineStr" s="0">
        <is>
          <t>Ak 4: Mielenterveyden ongelmista, päihderiippuvuudesta tai neuropsykiatrisista vaikeuksista kärsivien aikuisten tukemiseen matalan kynnyksen kohtaamispaikka- ja kädentaitopajatoiminnalla (Avoin Paja Inspis) (199 552 €) | Ak 5: Toipumista edistävään sekä hyvinvointia ja positiivista mielenterveyttä vahvistavaan avoimeen kurssi- ja ryhmätoimintaan, vapaaehtoistoimintaan (Tsempparitoiminta) sekä kokemusasiantuntijatoimintaan (Mielen Avoin Opisto) (172 229 €)</t>
        </is>
      </c>
    </row>
    <row r="195">
      <c r="A195" s="2">
        <v>194</v>
      </c>
      <c r="B195" s="2">
        <v>13</v>
      </c>
      <c r="C195" t="inlineStr" s="0">
        <is>
          <t>LAHDEN LÄHIMMÄISPALVELU RY</t>
        </is>
      </c>
      <c r="D195" s="2">
        <v>371338.0</v>
      </c>
      <c r="E195" s="2">
        <v>371338.0</v>
      </c>
      <c r="F195" s="2">
        <v>0.0</v>
      </c>
      <c r="G195" s="2">
        <v>100.0</v>
      </c>
      <c r="H195" s="2">
        <v>3</v>
      </c>
      <c r="I195" t="inlineStr" s="0">
        <is>
          <t>Ak 7523: Kotona asuvien yli 75-vuotiaiden yksinäisyyden kokemuksen vähentämiseen sekä osallisuuden kokemuksen lisäämiseen etsivän vanhustyön, kerhotoiminnan, retkien ja tapahtumien sekä ylisukupolvisen oppilaitosyhteistyön avulla (Kiinni elämässä -toiminta) (168 000 €) | Ak 12641: Päijät-Hämeen vapaaehtoistoiminnan verkoston koordinoimiseen, alueellisen vapaaehtoistoiminnan edistämiseen ja yhteistyön tukemiseen vapaaehtoistoimijoiden kesken (Päijät-Hämeen vapaaehtoistoiminnan verkosto) (102 669 €) | Ak 3: Ikääntyneiden osallisuuden ja sosiaalisten kontaktien lisäämiseen sekä yksinäisyyden tunteen vähentämiseen vapaaehtoistoiminnan ja kohtaamispaikkatoiminnan keinoin (Virtaa vapaaehtoistyöhön) (100 669 €)</t>
        </is>
      </c>
    </row>
    <row r="196">
      <c r="A196" s="2">
        <v>195</v>
      </c>
      <c r="B196" s="2">
        <v>1217</v>
      </c>
      <c r="C196" t="inlineStr" s="0">
        <is>
          <t>NAUHA RY</t>
        </is>
      </c>
      <c r="D196" s="2">
        <v>370500.0</v>
      </c>
      <c r="E196" s="2">
        <v>370500.0</v>
      </c>
      <c r="F196" s="2">
        <v>0.0</v>
      </c>
      <c r="G196" s="2">
        <v>100.0</v>
      </c>
      <c r="H196" s="2">
        <v>2</v>
      </c>
      <c r="I196" t="inlineStr" s="0">
        <is>
          <t>Ak 7191: Maahanmuuttajien sosiaalisen hyvinvoinnin ja yhteiskuntaan integroitumisen tukemiseen kohtaamispaikkatoiminnan avulla (220 500 €) | Ak 4: Vapaaehtois- ja vertaistoiminnan toteuttamiseen ja kehittämiseen eri kohderyhmien (mm. päihdekuntoutujat, neuropsykiatrisista oireista kärsivät) arjen ja toimintakyvyn tukemiseksi (150 000 €)</t>
        </is>
      </c>
    </row>
    <row r="197">
      <c r="A197" s="2">
        <v>196</v>
      </c>
      <c r="B197" s="2">
        <v>158</v>
      </c>
      <c r="C197" t="inlineStr" s="0">
        <is>
          <t>PSYKIATRISEN KUNTOUTUKSEN TUKI RY</t>
        </is>
      </c>
      <c r="D197" s="2">
        <v>364087.0</v>
      </c>
      <c r="E197" s="2">
        <v>364087.0</v>
      </c>
      <c r="F197" s="2">
        <v>0.0</v>
      </c>
      <c r="G197" s="2">
        <v>100.0</v>
      </c>
      <c r="H197" s="2">
        <v>2</v>
      </c>
      <c r="I197" t="inlineStr" s="0">
        <is>
          <t>Ak 2: Mielenterveyskuntoutujien terveyttä, hyvinvointia, osallisuutta sekä työ- ja opiskeluelämään palaamista edistävään tavoitteelliseen kohtaamispaikkatoimintaan (Suvimäen FH-klubitalo) (215 250 €) | Ak 4131: Mielenterveyden haasteita kohdanneiden nuorten aikuisten toimintakyvyn ja mielen hyvinvoinnin lisäämisen vertaistukseen perustuvalla matalankynnyksen toiminnalla (Kulttuuripaja Trombi) (148 837 €)</t>
        </is>
      </c>
    </row>
    <row r="198">
      <c r="A198" s="2">
        <v>197</v>
      </c>
      <c r="B198" s="2">
        <v>235</v>
      </c>
      <c r="C198" t="inlineStr" s="0">
        <is>
          <t>HELSINGIN NUORTEN MIESTEN KRISTILLINEN YHDISTYS RY</t>
        </is>
      </c>
      <c r="D198" s="2">
        <v>361923.0</v>
      </c>
      <c r="E198" s="2">
        <v>361923.0</v>
      </c>
      <c r="F198" s="2">
        <v>0.0</v>
      </c>
      <c r="G198" s="2">
        <v>100.0</v>
      </c>
      <c r="H198" s="2">
        <v>2</v>
      </c>
      <c r="I198" t="inlineStr" s="0">
        <is>
          <t>Ak 2: Maahanmuuttajanuorten osallistavaan viikonlopputoimintaan ja osallistumisen edistämiseen jalkautuvan ryhmätoiminnan avulla  (Yökoripallo-toiminta, Helsinki) (188 554 €) | Ak 3890: Maahanmuuttajataustaisten nuorten aikuisten aktiivisuutta, osallisuutta, yhteiskuntaan kuulumisen tunnetta ja työllistymistä edistävään toimintaan vertaistuen, yksilöllinen tuen ja ryhmätoiminnan avulla pääkaupunkiseudulla  (Toiminnan Avulla Työelämään - TAT) (173 369 €)</t>
        </is>
      </c>
    </row>
    <row r="199">
      <c r="A199" s="2">
        <v>198</v>
      </c>
      <c r="B199" s="2">
        <v>422</v>
      </c>
      <c r="C199" t="inlineStr" s="0">
        <is>
          <t>NAPAPIIRIN OMAISHOITAJAT RY</t>
        </is>
      </c>
      <c r="D199" s="2">
        <v>361179.0</v>
      </c>
      <c r="E199" s="2">
        <v>361179.0</v>
      </c>
      <c r="F199" s="2">
        <v>0.0</v>
      </c>
      <c r="G199" s="2">
        <v>100.0</v>
      </c>
      <c r="H199" s="2">
        <v>1</v>
      </c>
      <c r="I199" t="inlineStr" s="0">
        <is>
          <t>Ak 2: Omaishoitajien toimintakyvyn tukemiseen tiedottamisen, neuvonnan, vertaistoiminnan ja valmennusten avulla Lapin alueella (OmaisOiva) (361 179 €)</t>
        </is>
      </c>
    </row>
    <row r="200">
      <c r="A200" s="2">
        <v>199</v>
      </c>
      <c r="B200" s="2">
        <v>418</v>
      </c>
      <c r="C200" t="inlineStr" s="0">
        <is>
          <t>Silta-Valmennusyhdistys ry</t>
        </is>
      </c>
      <c r="D200" s="2">
        <v>360300.0</v>
      </c>
      <c r="E200" s="2">
        <v>360300.0</v>
      </c>
      <c r="F200" s="2">
        <v>0.0</v>
      </c>
      <c r="G200" s="2">
        <v>100.0</v>
      </c>
      <c r="H200" s="2">
        <v>2</v>
      </c>
      <c r="I200" t="inlineStr" s="0">
        <is>
          <t>Ak 1973: Vapautuvien vankien tukemiseen ja yhteiskuntaan sopeuttamiseen valmentavan työotteen avulla sekä toimintamallin juurruttamiseen  (Tavalliseen elämään -palvelu) (199 500 €) | Ak 12352: Vakavan traumatisoitumisen tunnistamiseen ja oireiden lieventämiseen sekä toimintatapojen kehittämiseen traumatisoituneiden tueksi. Toiminta kohdistuu rikostaustaisille henkilöille, vapautuville vangeille ja päihdekuntoutujille (160 800 €)</t>
        </is>
      </c>
    </row>
    <row r="201">
      <c r="A201" s="2">
        <v>200</v>
      </c>
      <c r="B201" s="2">
        <v>211</v>
      </c>
      <c r="C201" t="inlineStr" s="0">
        <is>
          <t>SEXPO SÄÄTIÖ</t>
        </is>
      </c>
      <c r="D201" s="2">
        <v>359060.0</v>
      </c>
      <c r="E201" s="2">
        <v>80000.0</v>
      </c>
      <c r="F201" s="2">
        <v>279060.0</v>
      </c>
      <c r="G201" s="2">
        <v>22.3</v>
      </c>
      <c r="H201" s="2">
        <v>2</v>
      </c>
      <c r="I201" t="inlineStr" s="0">
        <is>
          <t>Ay 1: Yleisavustuksena avustuksen saajan yleishyödylliseen toimintaan (279 060 €) | Ak 11261: Lapsiin ja nuoriin kohdistuvan seksuaalisen väkivallan ennaltaehkäisemiseen matalan kynnyksen tukipalvelun, neuvonnan ja palveluohjauksen avulla henkilöille, joilla on kohonnut riski syyllistyä seksuaaliseen väkivaltaan (SeriE: Lapsiin kohdistuvien seksuaalirikosten ennaltaehkäisy 2026) (80 000 €)</t>
        </is>
      </c>
    </row>
    <row r="202">
      <c r="A202" s="2">
        <v>201</v>
      </c>
      <c r="B202" s="2">
        <v>1014</v>
      </c>
      <c r="C202" t="inlineStr" s="0">
        <is>
          <t>SVENSKA HÖRSELFÖRBUNDET RF</t>
        </is>
      </c>
      <c r="D202" s="2">
        <v>356200.0</v>
      </c>
      <c r="E202" s="2">
        <v>123650.0</v>
      </c>
      <c r="F202" s="2">
        <v>232550.0</v>
      </c>
      <c r="G202" s="2">
        <v>34.7</v>
      </c>
      <c r="H202" s="2">
        <v>3</v>
      </c>
      <c r="I202" t="inlineStr" s="0">
        <is>
          <t>Ay 1: Som allmänt understöd för understödstagarens allmännyttiga verksamhet (232 550 €) | Ak 3: För att ordna målinriktad gruppverksamhet för vuxna personer med hörselnedsättning samt deras anhöriga (74 650 €) | Ak 2: För understöd som allokeras till medlemsorganisationer (49 000 €)</t>
        </is>
      </c>
    </row>
    <row r="203">
      <c r="A203" s="2">
        <v>202</v>
      </c>
      <c r="B203" s="2">
        <v>1175</v>
      </c>
      <c r="C203" t="inlineStr" s="0">
        <is>
          <t>NÄÄSVILLE RY</t>
        </is>
      </c>
      <c r="D203" s="2">
        <v>353643.0</v>
      </c>
      <c r="E203" s="2">
        <v>353643.0</v>
      </c>
      <c r="F203" s="2">
        <v>0.0</v>
      </c>
      <c r="G203" s="2">
        <v>100.0</v>
      </c>
      <c r="H203" s="2">
        <v>2</v>
      </c>
      <c r="I203" t="inlineStr" s="0">
        <is>
          <t>Ak 1: Kotona asuvien ikäihmisten terveyden, hyvinvoinnin ja omatoimisen selviytymisen tukemiseen neuvonnan, ryhmätoiminnan ja vapaaehtoistoiminnan avulla (209 475 €) | Ak 10992: Virheellisistä ravintotottumuksista ja liikunnan vähäisyydestä oireilevien ikääntyneiden miesten hyvinvoinnin ja osallisuuden edistämiseen kurssi- ja vertaisryhmätoiminnan keinoin (Virkeät ikämiehet - liikunnalla ja ruualla vireyttä elämään digitalisaatiota hyödyntäen) (144 168 €)</t>
        </is>
      </c>
    </row>
    <row r="204">
      <c r="A204" s="2">
        <v>203</v>
      </c>
      <c r="B204" s="2">
        <v>99</v>
      </c>
      <c r="C204" t="inlineStr" s="0">
        <is>
          <t>HEIKINTALO LAPPEENRANNAN KLUBITALO</t>
        </is>
      </c>
      <c r="D204" s="2">
        <v>353262.0</v>
      </c>
      <c r="E204" s="2">
        <v>353262.0</v>
      </c>
      <c r="F204" s="2">
        <v>0.0</v>
      </c>
      <c r="G204" s="2">
        <v>100.0</v>
      </c>
      <c r="H204" s="2">
        <v>2</v>
      </c>
      <c r="I204" t="inlineStr" s="0">
        <is>
          <t>Ak 12399: 18–35-vuotiaiden mielenterveys- ja päihdekuntoutujien yhteisöllisyyden, osallisuuden, yhdenvertaisuuden ja suvaitsevaisuuden lisäämiseen sekä toiminta- ja työkyvyn sekä terveyden edistämiseen järjestämällä toiminnalliseen vertaistukeen perustuvaa kulttuuripajatoimintaa (Kulttuuripaja Saimaa) (185 021 €) | Ak 1: Mielenterveyskuntoutujien terveyttä, hyvinvointia, osallisuutta sekä työ- ja opiskeluelämään palaamista edistävään kohtaamispaikkatoimintaan (Heikintalo) (168 241 €)</t>
        </is>
      </c>
    </row>
    <row r="205">
      <c r="A205" s="2">
        <v>204</v>
      </c>
      <c r="B205" s="2">
        <v>500</v>
      </c>
      <c r="C205" t="inlineStr" s="0">
        <is>
          <t>Satakunnan ensi- ja turvakoti ry</t>
        </is>
      </c>
      <c r="D205" s="2">
        <v>351292.0</v>
      </c>
      <c r="E205" s="2">
        <v>351292.0</v>
      </c>
      <c r="F205" s="2">
        <v>0.0</v>
      </c>
      <c r="G205" s="2">
        <v>100.0</v>
      </c>
      <c r="H205" s="2">
        <v>2</v>
      </c>
      <c r="I205" t="inlineStr" s="0">
        <is>
          <t>Ak 10: Yksilö-, pari- ja ryhmämuotoiseen avokriisityöhön perhe- ja lähisuhdeväkivaltaa kokeneiden, tekijöiden ja altistuneiden kanssa sekä haastavissa erotilanteissa olevien perheiden tukemiseen (Avokriisityö) (200 899 €) | Ak 4: Vauvaperheiden vanhemmuuden ja vuorovaikutuksen tukemiseen ryhmätoiminnan keinoin (vauvaperheryhmätoiminta vauvaperheille), lapsiperheiden elämänhallinnan ja toimintakyvyn edistämiseen asumisen tukipalveluilla sekä yhdistyksen vapaaehtoistyön koordinointiin (150 393 €)</t>
        </is>
      </c>
    </row>
    <row r="206">
      <c r="A206" s="2">
        <v>205</v>
      </c>
      <c r="B206" s="2">
        <v>928</v>
      </c>
      <c r="C206" t="inlineStr" s="0">
        <is>
          <t>SELKÄLIITTO RY</t>
        </is>
      </c>
      <c r="D206" s="2">
        <v>350200.0</v>
      </c>
      <c r="E206" s="2">
        <v>25000.0</v>
      </c>
      <c r="F206" s="2">
        <v>325200.0</v>
      </c>
      <c r="G206" s="2">
        <v>7.1</v>
      </c>
      <c r="H206" s="2">
        <v>2</v>
      </c>
      <c r="I206" t="inlineStr" s="0">
        <is>
          <t>Ay 1: Yleisavustuksena avustuksen saajan yleishyödylliseen toimintaan (325 200 €) | Ak 6: Jäsenjärjestöille kohdistettaviin avustuksiin (25 000 €)</t>
        </is>
      </c>
    </row>
    <row r="207">
      <c r="A207" s="2">
        <v>206</v>
      </c>
      <c r="B207" s="2">
        <v>956</v>
      </c>
      <c r="C207" t="inlineStr" s="0">
        <is>
          <t>HELSINGIN JA UUDENMAAN NÄKÖVAMMAISET RY</t>
        </is>
      </c>
      <c r="D207" s="2">
        <v>350051.0</v>
      </c>
      <c r="E207" s="2">
        <v>350051.0</v>
      </c>
      <c r="F207" s="2">
        <v>0.0</v>
      </c>
      <c r="G207" s="2">
        <v>100.0</v>
      </c>
      <c r="H207" s="2">
        <v>1</v>
      </c>
      <c r="I207" t="inlineStr" s="0">
        <is>
          <t>Ak 1: Näkövammaisten itsenäisen elämän tukemiseen ja osallisuuden lisäämiseen vertaistuen, ryhmätoiminnan, digituen, saavutettavan tiedon, palveluohjauksen ja vaikuttamistoiminnan avulla (350 051 €)</t>
        </is>
      </c>
    </row>
    <row r="208">
      <c r="A208" s="2">
        <v>207</v>
      </c>
      <c r="B208" s="2">
        <v>363</v>
      </c>
      <c r="C208" t="inlineStr" s="0">
        <is>
          <t>Kansalaisareena ry</t>
        </is>
      </c>
      <c r="D208" s="2">
        <v>348037.0</v>
      </c>
      <c r="E208" s="2">
        <v>148037.0</v>
      </c>
      <c r="F208" s="2">
        <v>200000.0</v>
      </c>
      <c r="G208" s="2">
        <v>42.5</v>
      </c>
      <c r="H208" s="2">
        <v>2</v>
      </c>
      <c r="I208" t="inlineStr" s="0">
        <is>
          <t>Ay 5: Yleisavustuksena avustuksen saajan yleishyödylliseen toimintaan (200 000 €) | Ak 1352: Vapaaehtoistoiminnan koordinaattoreiden yhteistyöverkostojen eli Valikkoverkostojen toiminnan kehittämiseen (148 037 €)</t>
        </is>
      </c>
    </row>
    <row r="209">
      <c r="A209" s="2">
        <v>208</v>
      </c>
      <c r="B209" s="2">
        <v>1001</v>
      </c>
      <c r="C209" t="inlineStr" s="0">
        <is>
          <t>MIELI Rovaniemen Seudun Mielenterveys ry</t>
        </is>
      </c>
      <c r="D209" s="2">
        <v>347900.0</v>
      </c>
      <c r="E209" s="2">
        <v>347900.0</v>
      </c>
      <c r="F209" s="2">
        <v>0.0</v>
      </c>
      <c r="G209" s="2">
        <v>100.0</v>
      </c>
      <c r="H209" s="2">
        <v>1</v>
      </c>
      <c r="I209" t="inlineStr" s="0">
        <is>
          <t>Ak 1: Hyvinvoinnin ja osallisuuden edistämiseen järjestöjen vapaaehtoistyön ja yhteisöjen yhteistyön koordinoinnilla ja kehittämisellä Rovaniemellä (Neuvokas) (347 900 €)</t>
        </is>
      </c>
    </row>
    <row r="210">
      <c r="A210" s="2">
        <v>209</v>
      </c>
      <c r="B210" s="2">
        <v>478</v>
      </c>
      <c r="C210" t="inlineStr" s="0">
        <is>
          <t>PÄÄKAUPUNGIN TURVAKOTI RY</t>
        </is>
      </c>
      <c r="D210" s="2">
        <v>345366.0</v>
      </c>
      <c r="E210" s="2">
        <v>345366.0</v>
      </c>
      <c r="F210" s="2">
        <v>0.0</v>
      </c>
      <c r="G210" s="2">
        <v>100.0</v>
      </c>
      <c r="H210" s="2">
        <v>1</v>
      </c>
      <c r="I210" t="inlineStr" s="0">
        <is>
          <t>Ak 1: Yksilö-, pari-, perhe- ja ryhmämuotoiseen väkivaltatyön avopalveluun perhe- ja lähisuhdeväkivallan uhrien, tekijöiden ja heidän lasten kanssa väkivallan lopettamiseksi (Lähisuhdeväkivaltatyön yksikkö) (345 366 €)</t>
        </is>
      </c>
    </row>
    <row r="211">
      <c r="A211" s="2">
        <v>210</v>
      </c>
      <c r="B211" s="2">
        <v>23</v>
      </c>
      <c r="C211" t="inlineStr" s="0">
        <is>
          <t>POSITIIVISET RY</t>
        </is>
      </c>
      <c r="D211" s="2">
        <v>342203.0</v>
      </c>
      <c r="E211" s="2">
        <v>107100.0</v>
      </c>
      <c r="F211" s="2">
        <v>235103.0</v>
      </c>
      <c r="G211" s="2">
        <v>31.3</v>
      </c>
      <c r="H211" s="2">
        <v>2</v>
      </c>
      <c r="I211" t="inlineStr" s="0">
        <is>
          <t>Ay 1: Yleisavustuksena avustuksen saajan yleishyödylliseen toimintaan (235 103 €) | Ak 7730: Hiv-positiivisten ja heidän läheistensä hyvinvoinnin edistämiseen, yksinäisyyden ja syrjäytymisen ehkäisyyn ja sosiaaliseen verkostoitumiseen vertaistuen ja vapaaehtoistoiminnan avulla (107 100 €)</t>
        </is>
      </c>
    </row>
    <row r="212">
      <c r="A212" s="2">
        <v>211</v>
      </c>
      <c r="B212" s="2">
        <v>379</v>
      </c>
      <c r="C212" t="inlineStr" s="0">
        <is>
          <t>MAHDOLLISUUS LAPSELLE RY</t>
        </is>
      </c>
      <c r="D212" s="2">
        <v>339604.0</v>
      </c>
      <c r="E212" s="2">
        <v>339604.0</v>
      </c>
      <c r="F212" s="2">
        <v>0.0</v>
      </c>
      <c r="G212" s="2">
        <v>100.0</v>
      </c>
      <c r="H212" s="2">
        <v>1</v>
      </c>
      <c r="I212" t="inlineStr" s="0">
        <is>
          <t>Ak 2: Erityistä tukea tarvitsevien lasten, nuorten ja nuorten aikuisten toimintakyvyn ja sosiaalisten taitojen tukemiseen matalan kynnyksen harrastus- ja vapaa-ajantoiminnan avulla  (Kunnon, Toiminnan ja Ilmaisun Huone) (339 604 €)</t>
        </is>
      </c>
    </row>
    <row r="213">
      <c r="A213" s="2">
        <v>212</v>
      </c>
      <c r="B213" s="2">
        <v>218</v>
      </c>
      <c r="C213" t="inlineStr" s="0">
        <is>
          <t>Setlementti Toivola ry</t>
        </is>
      </c>
      <c r="D213" s="2">
        <v>336000.0</v>
      </c>
      <c r="E213" s="2">
        <v>336000.0</v>
      </c>
      <c r="F213" s="2">
        <v>0.0</v>
      </c>
      <c r="G213" s="2">
        <v>100.0</v>
      </c>
      <c r="H213" s="2">
        <v>2</v>
      </c>
      <c r="I213" t="inlineStr" s="0">
        <is>
          <t>Ak 12687: Järjestöjen yhteistyön, viestinnän ja toiminnan kehittämisen sekä toimintaedellytysten tukemiseen järjestökeskustoiminnan avulla (Meri-Lapin Järjestökeskus Silta) (194 250 €) | Ak 3000: Maahanmuuttaneiden elämänhallinnan, hyvinvoinnin ja osallisuuden sekä kaksisuuntaisen kotoutumisen edistämiseen matalan kynnyksen kohtaamispaikkatoimintojen, neuvonta- ja ohjauspalveluiden sekä vapaaehtoistoiminnan avulla (Monikulttuurikeskus Mikseri) (141 750 €)</t>
        </is>
      </c>
    </row>
    <row r="214">
      <c r="A214" s="2">
        <v>213</v>
      </c>
      <c r="B214" s="2">
        <v>427</v>
      </c>
      <c r="C214" t="inlineStr" s="0">
        <is>
          <t>VANTAAN TURVAKOTI RY</t>
        </is>
      </c>
      <c r="D214" s="2">
        <v>336000.0</v>
      </c>
      <c r="E214" s="2">
        <v>336000.0</v>
      </c>
      <c r="F214" s="2">
        <v>0.0</v>
      </c>
      <c r="G214" s="2">
        <v>100.0</v>
      </c>
      <c r="H214" s="2">
        <v>1</v>
      </c>
      <c r="I214" t="inlineStr" s="0">
        <is>
          <t>Ak 7: Yksilö- ja ryhmämuotoiseen avokriisityöhön perhe- ja lähisuhdeväkivallan kokijoiden, tekijöiden ja lasten kanssa sekä vanhemmuuden tukeen erotilanteessa (Lähisuhdeväkivaltatyön yksiköissä sekä avoimissa kohtaamispaikoissa) (336 000 €)</t>
        </is>
      </c>
    </row>
    <row r="215">
      <c r="A215" s="2">
        <v>214</v>
      </c>
      <c r="B215" s="2">
        <v>109</v>
      </c>
      <c r="C215" t="inlineStr" s="0">
        <is>
          <t>Helsingin Muistiyhdistys ry</t>
        </is>
      </c>
      <c r="D215" s="2">
        <v>335553.0</v>
      </c>
      <c r="E215" s="2">
        <v>335553.0</v>
      </c>
      <c r="F215" s="2">
        <v>0.0</v>
      </c>
      <c r="G215" s="2">
        <v>100.0</v>
      </c>
      <c r="H215" s="2">
        <v>1</v>
      </c>
      <c r="I215" t="inlineStr" s="0">
        <is>
          <t>Ak 2263: Muistisairauksien asiantuntija- ja tukikeskuksen toimintaan ja muistisairaiden ja heidän läheistensä tukemiseen Helsingin ja Itä-Uudenmaan alueella  - vertaisryhmätoiminnalla - ohjauksella ja neuvonnalla - vapaaehtoistoiminnalla - tiedotuksella - edunvalvonnalla (Muistiluotsi) (335 553 €)</t>
        </is>
      </c>
    </row>
    <row r="216">
      <c r="A216" s="2">
        <v>215</v>
      </c>
      <c r="B216" s="2">
        <v>674</v>
      </c>
      <c r="C216" t="inlineStr" s="0">
        <is>
          <t>NON FIGHTING GENERATION RY</t>
        </is>
      </c>
      <c r="D216" s="2">
        <v>334460.0</v>
      </c>
      <c r="E216" s="2">
        <v>334460.0</v>
      </c>
      <c r="F216" s="2">
        <v>0.0</v>
      </c>
      <c r="G216" s="2">
        <v>100.0</v>
      </c>
      <c r="H216" s="2">
        <v>2</v>
      </c>
      <c r="I216" t="inlineStr" s="0">
        <is>
          <t>Ak 1: Nuorisoväkivallan ehkäisyyn ja nuorten väkivallattoman käyttäytymisen edistämiseen ryhmätoiminnan avulla sekä kiusaamisen vastaiseen työhön Etelä-Suomessa (184 065 €) | Ak 3: Nuorisoväkivallan ehkäisyyn ryhmätoiminnan avulla ja nuorten väkivallattoman käyttäytymisen edistämiseen sekä kiusaamisen vastaiseen työhön Itä- ja Kaakkois-Suomessa (150 395 €)</t>
        </is>
      </c>
    </row>
    <row r="217">
      <c r="A217" s="2">
        <v>216</v>
      </c>
      <c r="B217" s="2">
        <v>412</v>
      </c>
      <c r="C217" t="inlineStr" s="0">
        <is>
          <t>JOENSUUN SETLEMENTTI RY</t>
        </is>
      </c>
      <c r="D217" s="2">
        <v>332658.0</v>
      </c>
      <c r="E217" s="2">
        <v>332658.0</v>
      </c>
      <c r="F217" s="2">
        <v>0.0</v>
      </c>
      <c r="G217" s="2">
        <v>100.0</v>
      </c>
      <c r="H217" s="2">
        <v>2</v>
      </c>
      <c r="I217" t="inlineStr" s="0">
        <is>
          <t>Ak 1225: Erityistä sosiaalista tukea tarvitsevien tyttöjen ja poikien sekä ei-binääristen nuorten yhteisöllisyyden, toimijuuden ja osallisuuden lisäämiseen.  Toimintamuotoina erityisesti matalan kynnyksen toiminta (Tyttöjen Tupa, Poikien Tupa ja teematorstait), pienryhmätoiminta sekä Isosisarus-vapaaehtoistoiminta. (176 208 €) | Ak 6906: Ikäihmisten osallistumismahdollisuuksia ja hyvinvointia tukevaan yhteisölliseen toimintaan Joensuun ja Kontiolahden alueella kohtaamispaikkatoiminnan, vapaaehtoistoiminnan sekä tapahtuma-, teemailta- ja pienryhmätoiminnan avulla (Rajaton Ikä! - Seniorien kohtaamispaikka- ja vapaaehtoistoiminta) (156 450 €)</t>
        </is>
      </c>
    </row>
    <row r="218">
      <c r="A218" s="2">
        <v>217</v>
      </c>
      <c r="B218" s="2">
        <v>129</v>
      </c>
      <c r="C218" t="inlineStr" s="0">
        <is>
          <t>ADOPTIOPERHEET RY</t>
        </is>
      </c>
      <c r="D218" s="2">
        <v>331736.0</v>
      </c>
      <c r="E218" s="2">
        <v>119300.0</v>
      </c>
      <c r="F218" s="2">
        <v>212436.0</v>
      </c>
      <c r="G218" s="2">
        <v>36.0</v>
      </c>
      <c r="H218" s="2">
        <v>2</v>
      </c>
      <c r="I218" t="inlineStr" s="0">
        <is>
          <t>Ay 3: Yleisavustuksena avustuksen saajan yleishyödylliseen toimintaan (212 436 €) | Ak 12202: Kotimaan ja kansainvälisesti adoptoitujen nuorten ja aikuisten hyvinvoinnin edistämiseen valtakunnallisesti vähentämällä yksinäisyyttä ja tukemalla adoptioon liittyvien asioiden käsittelyä ja identiteetin vahvistamista vertaistoiminnan ja tiedonvälityksen keinoin (Adoptoitujen nuorten ja aikuisten hyvinvoinnin ja voimavarojen parantaminen vertaistoiminnalla) (119 300 €)</t>
        </is>
      </c>
    </row>
    <row r="219">
      <c r="A219" s="2">
        <v>218</v>
      </c>
      <c r="B219" s="2">
        <v>84</v>
      </c>
      <c r="C219" t="inlineStr" s="0">
        <is>
          <t>POHJOIS-SAVON MUISTI RY</t>
        </is>
      </c>
      <c r="D219" s="2">
        <v>331640.0</v>
      </c>
      <c r="E219" s="2">
        <v>331640.0</v>
      </c>
      <c r="F219" s="2">
        <v>0.0</v>
      </c>
      <c r="G219" s="2">
        <v>100.0</v>
      </c>
      <c r="H219" s="2">
        <v>1</v>
      </c>
      <c r="I219" t="inlineStr" s="0">
        <is>
          <t>Ak 4: Muistisairauksien asiantuntija- ja tukikeskuksen toimintaan ja muistisairaiden ja heidän läheistensä tukemiseen Pohjois-Savossa - vertaisryhmätoiminnalla - ohjauksella ja neuvonnalla - vapaaehtoistoiminnalla - tiedotuksella - edunvalvonnalla (Muistiluotsi) (331 640 €)</t>
        </is>
      </c>
    </row>
    <row r="220">
      <c r="A220" s="2">
        <v>219</v>
      </c>
      <c r="B220" s="2">
        <v>307</v>
      </c>
      <c r="C220" t="inlineStr" s="0">
        <is>
          <t>FÖRBUNDET HEM OCH SKOLA I FINLAND RF</t>
        </is>
      </c>
      <c r="D220" s="2">
        <v>330778.0</v>
      </c>
      <c r="E220" s="2">
        <v>0.0</v>
      </c>
      <c r="F220" s="2">
        <v>330778.0</v>
      </c>
      <c r="G220" s="2">
        <v>0.0</v>
      </c>
      <c r="H220" s="2">
        <v>1</v>
      </c>
      <c r="I220" t="inlineStr" s="0">
        <is>
          <t>Ay 1: Som allmänt understöd för understödstagarens allmännyttiga verksamhet (330 778 €)</t>
        </is>
      </c>
    </row>
    <row r="221">
      <c r="A221" s="2">
        <v>220</v>
      </c>
      <c r="B221" s="2">
        <v>828</v>
      </c>
      <c r="C221" t="inlineStr" s="0">
        <is>
          <t>YAD RY</t>
        </is>
      </c>
      <c r="D221" s="2">
        <v>330136.0</v>
      </c>
      <c r="E221" s="2">
        <v>196000.0</v>
      </c>
      <c r="F221" s="2">
        <v>134136.0</v>
      </c>
      <c r="G221" s="2">
        <v>59.4</v>
      </c>
      <c r="H221" s="2">
        <v>2</v>
      </c>
      <c r="I221" t="inlineStr" s="0">
        <is>
          <t>Ak 11240: Nuorten huumeidenkäytön, varhaisten kokeilujen ja käytöstä aiheutuvien haittojen ehkäisyyn nuoria osallistavan vapaaehtoistoiminnan, koulutuksen ja päihteettömän toiminnan avulla (196 000 €) | Ay 1: Yleisavustuksena avustuksen saajan yleishyödylliseen toimintaan (134 136 €)</t>
        </is>
      </c>
    </row>
    <row r="222">
      <c r="A222" s="2">
        <v>221</v>
      </c>
      <c r="B222" s="2">
        <v>707</v>
      </c>
      <c r="C222" t="inlineStr" s="0">
        <is>
          <t>SATAKUNNAN YHTEISÖT RY</t>
        </is>
      </c>
      <c r="D222" s="2">
        <v>329700.0</v>
      </c>
      <c r="E222" s="2">
        <v>329700.0</v>
      </c>
      <c r="F222" s="2">
        <v>0.0</v>
      </c>
      <c r="G222" s="2">
        <v>100.0</v>
      </c>
      <c r="H222" s="2">
        <v>1</v>
      </c>
      <c r="I222" t="inlineStr" s="0">
        <is>
          <t>Ak 1: Kaikille avoimeen kohtaamispaikkatoimintaan Porissa ja Kankaanpäässä, yhdistys- ja vapaaehtoistoiminnan kouluttamiseen ja vahvistamiseen, eri sektorien toimijoiden yhteistyön edistämiseen sekä OLKA-toiminnan toteuttamiseen Satakunnassa (329 700 €)</t>
        </is>
      </c>
    </row>
    <row r="223">
      <c r="A223" s="2">
        <v>222</v>
      </c>
      <c r="B223" s="2">
        <v>96</v>
      </c>
      <c r="C223" t="inlineStr" s="0">
        <is>
          <t>Pirkanmaan Mielenterveys ry</t>
        </is>
      </c>
      <c r="D223" s="2">
        <v>329000.0</v>
      </c>
      <c r="E223" s="2">
        <v>329000.0</v>
      </c>
      <c r="F223" s="2">
        <v>0.0</v>
      </c>
      <c r="G223" s="2">
        <v>100.0</v>
      </c>
      <c r="H223" s="2">
        <v>1</v>
      </c>
      <c r="I223" t="inlineStr" s="0">
        <is>
          <t>Ak 1: Vaikeissa elämäntilanteissa oleville henkilöille tarkoitettuun järjestölähtöiseen kriisi- ja mielenterveystyöhön yksilö- ja ryhmämuotoisen auttamisen, vapaaehtoistoiminnan sekä koulutusten keinoin (Kriisikeskus Osviitta) (329 000 €)</t>
        </is>
      </c>
    </row>
    <row r="224">
      <c r="A224" s="2">
        <v>223</v>
      </c>
      <c r="B224" s="2">
        <v>574</v>
      </c>
      <c r="C224" t="inlineStr" s="0">
        <is>
          <t>NUORET LESKET RY</t>
        </is>
      </c>
      <c r="D224" s="2">
        <v>328876.0</v>
      </c>
      <c r="E224" s="2">
        <v>328876.0</v>
      </c>
      <c r="F224" s="2">
        <v>0.0</v>
      </c>
      <c r="G224" s="2">
        <v>100.0</v>
      </c>
      <c r="H224" s="2">
        <v>1</v>
      </c>
      <c r="I224" t="inlineStr" s="0">
        <is>
          <t>Ak 10008: Leskien, leskiperheiden ja vanhempansa menettäneiden lasten, nuorten ja nuorten aikuisten tukeen vertais- ja vapaaehtoistoiminnan, neuvonnan, viestinnän ja vaikuttamistoiminnan avulla. (328 876 €)</t>
        </is>
      </c>
    </row>
    <row r="225">
      <c r="A225" s="2">
        <v>224</v>
      </c>
      <c r="B225" s="2">
        <v>417</v>
      </c>
      <c r="C225" t="inlineStr" s="0">
        <is>
          <t>KUULOVAMMAISTEN LASTEN VANHEMPIEN LIITTO RY</t>
        </is>
      </c>
      <c r="D225" s="2">
        <v>326680.0</v>
      </c>
      <c r="E225" s="2">
        <v>160680.0</v>
      </c>
      <c r="F225" s="2">
        <v>166000.0</v>
      </c>
      <c r="G225" s="2">
        <v>49.2</v>
      </c>
      <c r="H225" s="2">
        <v>3</v>
      </c>
      <c r="I225" t="inlineStr" s="0">
        <is>
          <t>Ay 1: Yleisavustuksena avustuksen saajan yleishyödylliseen toimintaan (166 000 €) | Ak 3: Vertaisperhekursseja, leirejä, verkkotilaisuuksia ja tapahtumia sisältävän vertaistoiminnan järjestämiseen kuulovammaisten lasten perheille (154 500 €) | Ak 2605: Jäsenjärjestöille kohdistettaviin avustuksiin (6 180 €)</t>
        </is>
      </c>
    </row>
    <row r="226">
      <c r="A226" s="2">
        <v>225</v>
      </c>
      <c r="B226" s="2">
        <v>684</v>
      </c>
      <c r="C226" t="inlineStr" s="0">
        <is>
          <t>MIELI Oulun seudun Mielenterveys ry</t>
        </is>
      </c>
      <c r="D226" s="2">
        <v>325987.0</v>
      </c>
      <c r="E226" s="2">
        <v>325987.0</v>
      </c>
      <c r="F226" s="2">
        <v>0.0</v>
      </c>
      <c r="G226" s="2">
        <v>100.0</v>
      </c>
      <c r="H226" s="2">
        <v>1</v>
      </c>
      <c r="I226" t="inlineStr" s="0">
        <is>
          <t>Ak 1: Vaikeissa elämäntilanteissa oleville henkilöille tarkoitettuun järjestölähtöiseen kriisi- ja mielenterveystyöhön yksilö- ja ryhmämuotoisen auttamisen sekä vapaaehtoistoiminnan keinoin (MIELI Kriisikeskus Oulu) (325 987 €)</t>
        </is>
      </c>
    </row>
    <row r="227">
      <c r="A227" s="2">
        <v>226</v>
      </c>
      <c r="B227" s="2">
        <v>342</v>
      </c>
      <c r="C227" t="inlineStr" s="0">
        <is>
          <t>VAASAN SEUDUN MUISTIYHDISTYS RY</t>
        </is>
      </c>
      <c r="D227" s="2">
        <v>325500.0</v>
      </c>
      <c r="E227" s="2">
        <v>325500.0</v>
      </c>
      <c r="F227" s="2">
        <v>0.0</v>
      </c>
      <c r="G227" s="2">
        <v>100.0</v>
      </c>
      <c r="H227" s="2">
        <v>1</v>
      </c>
      <c r="I227" t="inlineStr" s="0">
        <is>
          <t>Ak 1: Muistisairauksien asiantuntija- ja tukikeskuksen toimintaan ja muistisairaiden ja heidän läheistensä tukemiseen Vaasan seudulla - vertaisryhmätoiminnalla - ohjauksella ja neuvonnalla - vapaaehtoistoiminnalla - tiedotuksella - edunvalvonnalla  (Muistiluotsi) (325 500 €)</t>
        </is>
      </c>
    </row>
    <row r="228">
      <c r="A228" s="2">
        <v>227</v>
      </c>
      <c r="B228" s="2">
        <v>912</v>
      </c>
      <c r="C228" t="inlineStr" s="0">
        <is>
          <t>SAMS - SAMARBETSFÖRBUNDET KRING FUNKTIONSHINDER RF</t>
        </is>
      </c>
      <c r="D228" s="2">
        <v>323138.0</v>
      </c>
      <c r="E228" s="2">
        <v>323138.0</v>
      </c>
      <c r="F228" s="2">
        <v>0.0</v>
      </c>
      <c r="G228" s="2">
        <v>100.0</v>
      </c>
      <c r="H228" s="2">
        <v>2</v>
      </c>
      <c r="I228" t="inlineStr" s="0">
        <is>
          <t>Ak 1: För juridisk rådgivning, intressebevakning och informationsverksamhet till förmån för personer med funktionsnedsättning och deras närstående i Svenskfinland (189 138 €) | Ak 2: För vänverksamhet för svenskspråkiga personer med olika funktionsnedsättningar i Nyland och Österbotten (134 000 €)</t>
        </is>
      </c>
    </row>
    <row r="229">
      <c r="A229" s="2">
        <v>228</v>
      </c>
      <c r="B229" s="2">
        <v>1155</v>
      </c>
      <c r="C229" t="inlineStr" s="0">
        <is>
          <t>KANSALLINEN SENIORILIITTO RY</t>
        </is>
      </c>
      <c r="D229" s="2">
        <v>322588.0</v>
      </c>
      <c r="E229" s="2">
        <v>31500.0</v>
      </c>
      <c r="F229" s="2">
        <v>291088.0</v>
      </c>
      <c r="G229" s="2">
        <v>9.8</v>
      </c>
      <c r="H229" s="2">
        <v>2</v>
      </c>
      <c r="I229" t="inlineStr" s="0">
        <is>
          <t>Ay 1: Yleisavustuksena avustuksen saajan yleishyödylliseen toimintaan (291 088 €) | Ak 7147: Jäsenjärjestöille kohdistettaviin avustuksiin (31 500 €)</t>
        </is>
      </c>
    </row>
    <row r="230">
      <c r="A230" s="2">
        <v>229</v>
      </c>
      <c r="B230" s="2">
        <v>957</v>
      </c>
      <c r="C230" t="inlineStr" s="0">
        <is>
          <t>YHDESSÄ-YHDISTYS RY/TOGETHER ASSOCIATION</t>
        </is>
      </c>
      <c r="D230" s="2">
        <v>321825.0</v>
      </c>
      <c r="E230" s="2">
        <v>321825.0</v>
      </c>
      <c r="F230" s="2">
        <v>0.0</v>
      </c>
      <c r="G230" s="2">
        <v>100.0</v>
      </c>
      <c r="H230" s="2">
        <v>1</v>
      </c>
      <c r="I230" t="inlineStr" s="0">
        <is>
          <t>Ak 1338: Kaksisuuntaista kotoutumista edistävään matalan kynnyksen toimintaan sekä maahanmuuttajataustaisten ja alueen muiden asukkaiden toimintakykyä ja työelämävalmiuksia edistävään yksilöohjaukseen ja neuvontaan,  ryhmätoimintaan sekä tapahtumien ja vapaaehtoistoiminnan toteuttamiseen Turun Varissuolla ja Runosmäessä (321 825 €)</t>
        </is>
      </c>
    </row>
    <row r="231">
      <c r="A231" s="2">
        <v>230</v>
      </c>
      <c r="B231" s="2">
        <v>149</v>
      </c>
      <c r="C231" t="inlineStr" s="0">
        <is>
          <t>MIELI Etelä-Savon mielenterveys ry</t>
        </is>
      </c>
      <c r="D231" s="2">
        <v>320000.0</v>
      </c>
      <c r="E231" s="2">
        <v>320000.0</v>
      </c>
      <c r="F231" s="2">
        <v>0.0</v>
      </c>
      <c r="G231" s="2">
        <v>100.0</v>
      </c>
      <c r="H231" s="2">
        <v>1</v>
      </c>
      <c r="I231" t="inlineStr" s="0">
        <is>
          <t>Ak 1: Järjestölähtöiseen kriisi- ja mielenterveystyöhön vaikeissa elämäntilanteissa oleville kasvokkaisissa asiakastapaamisissa, puhelimitse, verkossa, etäyhteydellä sekä ryhmissä ja tukihenkilötoiminnan avulla (MIELI Kriisikeskus Etelä-Savo, Mikkelin, Savonlinnan ja Pieksämäen toimipisteet) (320 000 €)</t>
        </is>
      </c>
    </row>
    <row r="232">
      <c r="A232" s="2">
        <v>231</v>
      </c>
      <c r="B232" s="2">
        <v>517</v>
      </c>
      <c r="C232" t="inlineStr" s="0">
        <is>
          <t>FinFami Pohjanmaa ry, FinFami Österbotten rf</t>
        </is>
      </c>
      <c r="D232" s="2">
        <v>319725.0</v>
      </c>
      <c r="E232" s="2">
        <v>319725.0</v>
      </c>
      <c r="F232" s="2">
        <v>0.0</v>
      </c>
      <c r="G232" s="2">
        <v>100.0</v>
      </c>
      <c r="H232" s="2">
        <v>1</v>
      </c>
      <c r="I232" t="inlineStr" s="0">
        <is>
          <t>Ak 3: Mielenterveysomaisten osallisuuden ja toimintakyvyn vahvistamiseen suomen- ja ruotsinkielisen henkilökohtaisen tuen ja neuvonnan, vertaistuen ja muun ryhmätoiminnan sekä yhteiskunnallisen vaikuttamisen avulla Pohjanmaan ja Keski-Pohjanmaan alueilla (319 725 €)</t>
        </is>
      </c>
    </row>
    <row r="233">
      <c r="A233" s="2">
        <v>232</v>
      </c>
      <c r="B233" s="2">
        <v>513</v>
      </c>
      <c r="C233" t="inlineStr" s="0">
        <is>
          <t>Markku Juhani Fingerroosin muistosäätiö sr</t>
        </is>
      </c>
      <c r="D233" s="2">
        <v>319725.0</v>
      </c>
      <c r="E233" s="2">
        <v>319725.0</v>
      </c>
      <c r="F233" s="2">
        <v>0.0</v>
      </c>
      <c r="G233" s="2">
        <v>100.0</v>
      </c>
      <c r="H233" s="2">
        <v>1</v>
      </c>
      <c r="I233" t="inlineStr" s="0">
        <is>
          <t>Ak 3778: Haasteellisessa elämäntilanteessa olevien ikääntyneiden toimijuuden ja omassa kodissa pärjäämisen vahvistamiseen sekä yksinäisyyden vähentämiseen löytävän vanhustyön sekä yksilö- ja ryhmätoiminnan keinoin (Varsinais-Suomen löytävä vanhustyö) (319 725 €)</t>
        </is>
      </c>
    </row>
    <row r="234">
      <c r="A234" s="2">
        <v>233</v>
      </c>
      <c r="B234" s="2">
        <v>713</v>
      </c>
      <c r="C234" t="inlineStr" s="0">
        <is>
          <t>PAKOLAISNEUVONTA RY</t>
        </is>
      </c>
      <c r="D234" s="2">
        <v>319600.0</v>
      </c>
      <c r="E234" s="2">
        <v>319600.0</v>
      </c>
      <c r="F234" s="2">
        <v>0.0</v>
      </c>
      <c r="G234" s="2">
        <v>100.0</v>
      </c>
      <c r="H234" s="2">
        <v>1</v>
      </c>
      <c r="I234" t="inlineStr" s="0">
        <is>
          <t>Ak 4138: Pakolaisten, ihmiskaupan uhrien, paperittomien ja muiden erityisen haavoittuvassa asemassa olevien ulkomaalaisten matalan kynnyksen oikeudelliseen neuvontaan sekä  muiden samojen asiakasryhmien kanssa toimivien työn tukeminen ulkomaalaisoikeudellista erityisasiantuntemusta jakamalla (319 600 €)</t>
        </is>
      </c>
    </row>
    <row r="235">
      <c r="A235" s="2">
        <v>234</v>
      </c>
      <c r="B235" s="2">
        <v>1196</v>
      </c>
      <c r="C235" t="inlineStr" s="0">
        <is>
          <t>TURUN LÄHIMMÄISPALVELUYHDISTYS RY</t>
        </is>
      </c>
      <c r="D235" s="2">
        <v>319586.0</v>
      </c>
      <c r="E235" s="2">
        <v>319586.0</v>
      </c>
      <c r="F235" s="2">
        <v>0.0</v>
      </c>
      <c r="G235" s="2">
        <v>100.0</v>
      </c>
      <c r="H235" s="2">
        <v>2</v>
      </c>
      <c r="I235" t="inlineStr" s="0">
        <is>
          <t>Ak 6: Psykososiaalisten tai mielenterveyden haasteiden kanssa kamppailevien, yksinäisten tai kotiin eristäytyneiden ikääntyneiden toimijuuden ja osallisuuden vahvistamiseen sekä yksinäisyyden vähentämiseen yksilö- ja ryhmätoiminnan keinoin (Varjosta valoon) (169 547 €) | Ak 5888: Ikäihmisten tietoisuuden lisäämiseen heille tarjolla olevista tuen ja palvelujen mahdollisuuksista sekä ikääntyneiden toimijuuden ja kuulluksi tulemisen edistämiseen liikkuvan resurssikeskuksen avulla. Vapaaehtoistoiminnan saavutettavuuden edistämiseen. (Liikkuva resurssikeskus) (150 039 €)</t>
        </is>
      </c>
    </row>
    <row r="236">
      <c r="A236" s="2">
        <v>235</v>
      </c>
      <c r="B236" s="2">
        <v>65</v>
      </c>
      <c r="C236" t="inlineStr" s="0">
        <is>
          <t>MIELI Hämeen Mielenterveys ry</t>
        </is>
      </c>
      <c r="D236" s="2">
        <v>319000.0</v>
      </c>
      <c r="E236" s="2">
        <v>319000.0</v>
      </c>
      <c r="F236" s="2">
        <v>0.0</v>
      </c>
      <c r="G236" s="2">
        <v>100.0</v>
      </c>
      <c r="H236" s="2">
        <v>1</v>
      </c>
      <c r="I236" t="inlineStr" s="0">
        <is>
          <t>Ak 1: Vaikeissa elämäntilanteissa oleville henkilöille tarkoitettuun järjestölähtöiseen kriisi- ja mielenterveystyöhön yksilö- ja ryhmämuotoisen auttamisen sekä vapaaehtoistoiminnan keinoin (MIELI Kriisikeskus Lahti ja MIELI Kriisikeskus Hämeenlinna) (319 000 €)</t>
        </is>
      </c>
    </row>
    <row r="237">
      <c r="A237" s="2">
        <v>236</v>
      </c>
      <c r="B237" s="2">
        <v>833</v>
      </c>
      <c r="C237" t="inlineStr" s="0">
        <is>
          <t>LYÖMÄTÖN LINJA ESPOOSSA RY</t>
        </is>
      </c>
      <c r="D237" s="2">
        <v>318150.0</v>
      </c>
      <c r="E237" s="2">
        <v>318150.0</v>
      </c>
      <c r="F237" s="2">
        <v>0.0</v>
      </c>
      <c r="G237" s="2">
        <v>100.0</v>
      </c>
      <c r="H237" s="2">
        <v>1</v>
      </c>
      <c r="I237" t="inlineStr" s="0">
        <is>
          <t>Ak 2: Väkivaltaa lähi- tai perhesuhteessaan käyttäneiden miesten auttamiseen ja väkivallan ennaltaehkäisyyn yksilö-, pari- ja ryhmätyöskentelyn sekä ohjauksen ja neuvonnan avulla verkostoyhteistyössä (Lyömätön Linja ja Miehen Linja -toiminnot). (318 150 €)</t>
        </is>
      </c>
    </row>
    <row r="238">
      <c r="A238" s="2">
        <v>237</v>
      </c>
      <c r="B238" s="2">
        <v>104</v>
      </c>
      <c r="C238" t="inlineStr" s="0">
        <is>
          <t>SAVONLINNAN TOIMINTAKESKUS RY</t>
        </is>
      </c>
      <c r="D238" s="2">
        <v>317175.0</v>
      </c>
      <c r="E238" s="2">
        <v>317175.0</v>
      </c>
      <c r="F238" s="2">
        <v>0.0</v>
      </c>
      <c r="G238" s="2">
        <v>100.0</v>
      </c>
      <c r="H238" s="2">
        <v>2</v>
      </c>
      <c r="I238" t="inlineStr" s="0">
        <is>
          <t>Ak 3: Pitkäaikaistyöttömien sekä päihde- ja mielenterveyskuntoutujien sosiaaliseen vahvistamiseen sekä arjenhallintataitojen lisäämiseen ryhmätoiminnalla ja yksilöllisellä tuella (185 861 €) | Ak 2: Päihde- ja moniongelmaisten asumistilannetta ja asumisen onnistumista edistävään tukitoimintaan (Pirtti-toiminta) (131 314 €)</t>
        </is>
      </c>
    </row>
    <row r="239">
      <c r="A239" s="2">
        <v>238</v>
      </c>
      <c r="B239" s="2">
        <v>1032</v>
      </c>
      <c r="C239" t="inlineStr" s="0">
        <is>
          <t>YLÄ-SAVON ENSI- JA TURVAKOTIYHDISTYS RY</t>
        </is>
      </c>
      <c r="D239" s="2">
        <v>314580.0</v>
      </c>
      <c r="E239" s="2">
        <v>314580.0</v>
      </c>
      <c r="F239" s="2">
        <v>0.0</v>
      </c>
      <c r="G239" s="2">
        <v>100.0</v>
      </c>
      <c r="H239" s="2">
        <v>2</v>
      </c>
      <c r="I239" t="inlineStr" s="0">
        <is>
          <t>Ak 1586: Pikkulapsiperheiden vanhemmuuden ja vuorovaikutuksen yksilö- ja ryhmämuotoiseen tukemiseen (vauvaperheryhmätoiminta, vapaaehtoisdoula-toiminta ja raskausajan työskentely erityistä tukea tarvitseville vauvaa odottaville perheille, chat, isätoiminta) (213 150 €) | Ak 2: Lapsiperheitä tukevaan järjestölähtöiseen avopalvelutoimintaan (Avitus-toiminta: Ero lapsiperheessä-, vertaisryhmä-, Yökylä-, Päiväleiri-  ja Mummolatoiminta, Perhetuvan Lauantai, chatverkkoauttaminen, kansalaisjärjestötoiminta) (101 430 €)</t>
        </is>
      </c>
    </row>
    <row r="240">
      <c r="A240" s="2">
        <v>239</v>
      </c>
      <c r="B240" s="2">
        <v>868</v>
      </c>
      <c r="C240" t="inlineStr" s="0">
        <is>
          <t>MIELI Pohjanmaan mielenterveys ry, MIELI psykisk hälsa Österbotten rf</t>
        </is>
      </c>
      <c r="D240" s="2">
        <v>314000.0</v>
      </c>
      <c r="E240" s="2">
        <v>314000.0</v>
      </c>
      <c r="F240" s="2">
        <v>0.0</v>
      </c>
      <c r="G240" s="2">
        <v>100.0</v>
      </c>
      <c r="H240" s="2">
        <v>1</v>
      </c>
      <c r="I240" t="inlineStr" s="0">
        <is>
          <t>Ak 6380: Vaikeissa elämäntilanteissa oleville henkilöille tarkoitettuun järjestölähtöiseen kaksikieliseen kriisi- ja mielenterveystyöhön yksilö- ja ryhmämuotoisen auttamisen sekä vapaaehtoistoiminnan keinoin. Avustus sisältää valtakunnallisen ruotsinkielisen kriisipuhelinpäivystystoiminnan (Pohjanmaan kriisikeskus - Österbottens kriscenter) (314 000 €)</t>
        </is>
      </c>
    </row>
    <row r="241">
      <c r="A241" s="2">
        <v>240</v>
      </c>
      <c r="B241" s="2">
        <v>963</v>
      </c>
      <c r="C241" t="inlineStr" s="0">
        <is>
          <t>TAMMENLEHVÄN PERINNELIITTO RY</t>
        </is>
      </c>
      <c r="D241" s="2">
        <v>310000.0</v>
      </c>
      <c r="E241" s="2">
        <v>310000.0</v>
      </c>
      <c r="F241" s="2">
        <v>0.0</v>
      </c>
      <c r="G241" s="2">
        <v>100.0</v>
      </c>
      <c r="H241" s="2">
        <v>1</v>
      </c>
      <c r="I241" t="inlineStr" s="0">
        <is>
          <t>Ak 1: Veteraanien edunvalvonta- ja tukityöhön.  Veteraaniliittojen ja - yhdistysten toimitilakuluihin. (310 000 €)</t>
        </is>
      </c>
    </row>
    <row r="242">
      <c r="A242" s="2">
        <v>241</v>
      </c>
      <c r="B242" s="2">
        <v>1170</v>
      </c>
      <c r="C242" t="inlineStr" s="0">
        <is>
          <t>KOSTI RY</t>
        </is>
      </c>
      <c r="D242" s="2">
        <v>308175.0</v>
      </c>
      <c r="E242" s="2">
        <v>308175.0</v>
      </c>
      <c r="F242" s="2">
        <v>0.0</v>
      </c>
      <c r="G242" s="2">
        <v>100.0</v>
      </c>
      <c r="H242" s="2">
        <v>2</v>
      </c>
      <c r="I242" t="inlineStr" s="0">
        <is>
          <t>Ak 1: Kansalaistoimintakeskuksen kohtaamispaikan koordinointiin tukemaan yhdistysten toimintaa, kehittämään vapaaehtoistoimintaa ja verkostotyötä sekä tarjoamaan alueen eri asukasryhmille kohtaamispaikka Kokkolassa (Yhteisöklubi-Gemenskapsklubben SILTA) (187 425 €) | Ak 11271: OLKA-toimintamallin mukaiseen vapaaehtoistyön koordinointiin sekä sairastuneen toimintakyvyn vahvistamiseen järjestöjen ja keskussairaalan yhteistyöllä (OLKA-toiminta Keski-Pohjanmaa) (120 750 €)</t>
        </is>
      </c>
    </row>
    <row r="243">
      <c r="A243" s="2">
        <v>242</v>
      </c>
      <c r="B243" s="2">
        <v>702</v>
      </c>
      <c r="C243" t="inlineStr" s="0">
        <is>
          <t>VARSINAIS-SUOMEN SININAUHA RY</t>
        </is>
      </c>
      <c r="D243" s="2">
        <v>307009.0</v>
      </c>
      <c r="E243" s="2">
        <v>265714.0</v>
      </c>
      <c r="F243" s="2">
        <v>41295.0</v>
      </c>
      <c r="G243" s="2">
        <v>86.5</v>
      </c>
      <c r="H243" s="2">
        <v>3</v>
      </c>
      <c r="I243" t="inlineStr" s="0">
        <is>
          <t>Ak 10747: Kodin ulkopuoliseen väkivaltaan syyllistyneiden tai syyllistymisriskissä olevien väkivaltaisen käyttäytymisen vähentämiseen ja ehkäisemiseen yksilöllisen asiakastyön ja verkostotyön avulla (138 740 €) | Ak 6112: Pääasiallisesti alle 30-vuotiaiden Turun alueelle vapautuvien vankien ja yhdyskuntaseuraamusasiakkaiden elämänhallinnan edistämiseen yksilöllisen tuen ja ryhmätoiminnan avulla (126 974 €) | C 13700: Euroopan sosiaalirahasto plussan (ESR+) hankkeen "Osaamista alaikäisten rikosten torjumiseksi (210285)" osarahoitukseen järjestölle (2026-2028) (41 295 €)</t>
        </is>
      </c>
    </row>
    <row r="244">
      <c r="A244" s="2">
        <v>243</v>
      </c>
      <c r="B244" s="2">
        <v>718</v>
      </c>
      <c r="C244" t="inlineStr" s="0">
        <is>
          <t>IMETYKSEN TUKI RY</t>
        </is>
      </c>
      <c r="D244" s="2">
        <v>307004.0</v>
      </c>
      <c r="E244" s="2">
        <v>307004.0</v>
      </c>
      <c r="F244" s="2">
        <v>0.0</v>
      </c>
      <c r="G244" s="2">
        <v>100.0</v>
      </c>
      <c r="H244" s="2">
        <v>1</v>
      </c>
      <c r="I244" t="inlineStr" s="0">
        <is>
          <t>Ak 4: Imetyksen edistämiseen ja tukemiseen vertaistukitoiminnalla sekä tietoa ja tukimateriaaleja tuottamalla (Tietoa ja tukea imetykseen vanhemmalta vanhemmalle) (307 004 €)</t>
        </is>
      </c>
    </row>
    <row r="245">
      <c r="A245" s="2">
        <v>244</v>
      </c>
      <c r="B245" s="2">
        <v>331</v>
      </c>
      <c r="C245" t="inlineStr" s="0">
        <is>
          <t>FINNILCO RY</t>
        </is>
      </c>
      <c r="D245" s="2">
        <v>306000.0</v>
      </c>
      <c r="E245" s="2">
        <v>139000.0</v>
      </c>
      <c r="F245" s="2">
        <v>167000.0</v>
      </c>
      <c r="G245" s="2">
        <v>45.4</v>
      </c>
      <c r="H245" s="2">
        <v>4</v>
      </c>
      <c r="I245" t="inlineStr" s="0">
        <is>
          <t>Ay 1: Yleisavustuksena avustuksen saajan yleishyödylliseen toimintaan (167 000 €) | Ak 12529: Avanne- ja vastaavasti leikattujen ja anaali-inkontinenssipotilaiden sekä heidän läheistensä vapaaehtoistoiminnan koordinointiin sekä vapaaehtoisten tukemiseen, koulutuksiin ja virkistykseen (61 000 €) | Ak 3: Avanne- ja vastaavasti leikattujen ja anaali-inkontinenssipotilaiden sekä heidän läheistensä tukemiseen sairauden käsittelyssä ja omahoidon toteuttamisessa sekä terveyden ja hyvinvoinnin edistämiseen tavoitteellisen ryhmätoiminnan avulla (60 000 €) | Ak 5: Jäsenjärjestöille kohdistettaviin avustuksiin (18 000 €)</t>
        </is>
      </c>
    </row>
    <row r="246">
      <c r="A246" s="2">
        <v>245</v>
      </c>
      <c r="B246" s="2">
        <v>252</v>
      </c>
      <c r="C246" t="inlineStr" s="0">
        <is>
          <t>Pohjanmaan ensi- ja turvakoti ry - Österbottens mödra- och skyddshem rf</t>
        </is>
      </c>
      <c r="D246" s="2">
        <v>305272.0</v>
      </c>
      <c r="E246" s="2">
        <v>305272.0</v>
      </c>
      <c r="F246" s="2">
        <v>0.0</v>
      </c>
      <c r="G246" s="2">
        <v>100.0</v>
      </c>
      <c r="H246" s="2">
        <v>2</v>
      </c>
      <c r="I246" t="inlineStr" s="0">
        <is>
          <t>Ak 6: Yksilö-, pari- ja ryhmämuotoiseen avokriisityöhön perhe- ja lähisuhdeväkivalta- ja muissa perhe-elämän muutos- ja kriisitilanteissa (Avokki) (164 272 €) | Ak 9807: Eroa harkitsevien tai eronneiden vanhempien yhteistyöhalun ja vanhemmuuden vahvistamiseen sekä erosta aiheutuvien lapseen kohdistuvien riskien ehkäisemiseen tarjoamalla varhaista tukea ja apua eroa harkitseville ja eronneille vanhemmille sekä heidän lapsilleen yksilö-, pari- ja vertaisryhmätoiminnan keinoin (Ero lapsiperheessä -työ) (141 000 €)</t>
        </is>
      </c>
    </row>
    <row r="247">
      <c r="A247" s="2">
        <v>246</v>
      </c>
      <c r="B247" s="2">
        <v>360</v>
      </c>
      <c r="C247" t="inlineStr" s="0">
        <is>
          <t>ERITYISLASTEN OMAISET ELO RY</t>
        </is>
      </c>
      <c r="D247" s="2">
        <v>300300.0</v>
      </c>
      <c r="E247" s="2">
        <v>300300.0</v>
      </c>
      <c r="F247" s="2">
        <v>0.0</v>
      </c>
      <c r="G247" s="2">
        <v>100.0</v>
      </c>
      <c r="H247" s="2">
        <v>1</v>
      </c>
      <c r="I247" t="inlineStr" s="0">
        <is>
          <t>Ak 1: Lapissa asuvien erityistä tukea tarvitsevien lasten ja nuorten sekä heidän perheidensä jaksamisen, hyvinvoinnin ja osallisuuden vahvistamiseen kohtaamispaikkatoiminnan, vertaistuen, tiedon jakamisen sekä virkistys- ja vapaaehtoistoiminnan avulla. Vapaaehtoisten ja kokemusosaajien koulutukseen ja koordinoitiin. (ELOn voimaannuttava verkosto) (300 300 €)</t>
        </is>
      </c>
    </row>
    <row r="248">
      <c r="A248" s="2">
        <v>247</v>
      </c>
      <c r="B248" s="2">
        <v>1091</v>
      </c>
      <c r="C248" t="inlineStr" s="0">
        <is>
          <t>LAPIN SOSIAALI- JA TERVEYSTURVAYHDISTYS RY</t>
        </is>
      </c>
      <c r="D248" s="2">
        <v>300300.0</v>
      </c>
      <c r="E248" s="2">
        <v>300300.0</v>
      </c>
      <c r="F248" s="2">
        <v>0.0</v>
      </c>
      <c r="G248" s="2">
        <v>100.0</v>
      </c>
      <c r="H248" s="2">
        <v>2</v>
      </c>
      <c r="I248" t="inlineStr" s="0">
        <is>
          <t>Ak 6338: Kansalaisten hyvinvointia edistävän valtakunnallisen verkkopalvelukokonaisuuden toteuttamiseen, ylläpitoon ja tekniseen kehittämiseen sekä verkoston yhteistyön koordinointiin (Lähellä.fi) (154 350 €) | Ak 1: Järjestörakenteen toimintaan koordinoimalla ja kehittämällä järjestöjen osallisuutta edistävää toimintamallia Lapissa ja kokoamalla Lapin järjestötoimijoita maakunnalliseen sosiaali- ja terveysalan kehittämistyöhön (145 950 €)</t>
        </is>
      </c>
    </row>
    <row r="249">
      <c r="A249" s="2">
        <v>248</v>
      </c>
      <c r="B249" s="2">
        <v>878</v>
      </c>
      <c r="C249" t="inlineStr" s="0">
        <is>
          <t>SUOMEN ASH RY</t>
        </is>
      </c>
      <c r="D249" s="2">
        <v>300000.0</v>
      </c>
      <c r="E249" s="2">
        <v>300000.0</v>
      </c>
      <c r="F249" s="2">
        <v>0.0</v>
      </c>
      <c r="G249" s="2">
        <v>100.0</v>
      </c>
      <c r="H249" s="2">
        <v>1</v>
      </c>
      <c r="I249" t="inlineStr" s="0">
        <is>
          <t>Ak 2: Nikotiinituotteiden käytön vähentämiseen asiantuntija-, viestintä- ja vaikuttamistoiminnan sekä Savuton Suomi 2030 -verkoston koordinoinnin avulla (300 000 €)</t>
        </is>
      </c>
    </row>
    <row r="250">
      <c r="A250" s="2">
        <v>249</v>
      </c>
      <c r="B250" s="2">
        <v>206</v>
      </c>
      <c r="C250" t="inlineStr" s="0">
        <is>
          <t>KESKI-SUOMEN MUISTIYHDISTYS RY</t>
        </is>
      </c>
      <c r="D250" s="2">
        <v>299648.0</v>
      </c>
      <c r="E250" s="2">
        <v>299648.0</v>
      </c>
      <c r="F250" s="2">
        <v>0.0</v>
      </c>
      <c r="G250" s="2">
        <v>100.0</v>
      </c>
      <c r="H250" s="2">
        <v>1</v>
      </c>
      <c r="I250" t="inlineStr" s="0">
        <is>
          <t>Ak 2: Muistisairauksien asiantuntija- ja tukikeskuksen toimintaan ja muistisairaiden ja heidän läheistensä tukemiseen Keski-Suomessa  - vertaisryhmätoiminnalla - ohjauksella ja neuvonnalla - vapaaehtoistoiminnalla - tiedotuksella - edunvalvonnalla (Muistiluotsi) (299 648 €)</t>
        </is>
      </c>
    </row>
    <row r="251">
      <c r="A251" s="2">
        <v>250</v>
      </c>
      <c r="B251" s="2">
        <v>919</v>
      </c>
      <c r="C251" t="inlineStr" s="0">
        <is>
          <t>Taimi ry</t>
        </is>
      </c>
      <c r="D251" s="2">
        <v>296100.0</v>
      </c>
      <c r="E251" s="2">
        <v>296100.0</v>
      </c>
      <c r="F251" s="2">
        <v>0.0</v>
      </c>
      <c r="G251" s="2">
        <v>100.0</v>
      </c>
      <c r="H251" s="2">
        <v>1</v>
      </c>
      <c r="I251" t="inlineStr" s="0">
        <is>
          <t>Ak 4: Mielenterveyskuntoutujien osallisuuden ja hyvinvoinnin vahvistamiseen kaikille avoimen matalan kynnyksen kohtaamispaikan sekä ryhmä- ja vapaaehtoistoimintojen avulla Tampereella (296 100 €)</t>
        </is>
      </c>
    </row>
    <row r="252">
      <c r="A252" s="2">
        <v>251</v>
      </c>
      <c r="B252" s="2">
        <v>857</v>
      </c>
      <c r="C252" t="inlineStr" s="0">
        <is>
          <t>Turun Seudun Vanhustuki ry</t>
        </is>
      </c>
      <c r="D252" s="2">
        <v>295712.0</v>
      </c>
      <c r="E252" s="2">
        <v>295712.0</v>
      </c>
      <c r="F252" s="2">
        <v>0.0</v>
      </c>
      <c r="G252" s="2">
        <v>100.0</v>
      </c>
      <c r="H252" s="2">
        <v>2</v>
      </c>
      <c r="I252" t="inlineStr" s="0">
        <is>
          <t>Ak 1: Yksin asuvien ikääntyneiden yksinäisyyden tunteen vähentämiseen, osallisuuden lisäämiseen ja voimavarojen vahvistamiseen pitkäkestoisen ja kertaluontoisen ystävätoiminnan avulla (163 767 €) | Ak 12355: Kotona yksin asuvien ikääntyneiden fyysisen kunnon, liikkumis- ja toimintakyvyn ylläpitämiseen vapaaehtoisten kuntoilukummien avulla (Kuntoilukummitoiminta) (131 945 €)</t>
        </is>
      </c>
    </row>
    <row r="253">
      <c r="A253" s="2">
        <v>252</v>
      </c>
      <c r="B253" s="2">
        <v>571</v>
      </c>
      <c r="C253" t="inlineStr" s="0">
        <is>
          <t>PAASIKIVEN NUORISOKYLÄN SÄÄTIÖ</t>
        </is>
      </c>
      <c r="D253" s="2">
        <v>295050.0</v>
      </c>
      <c r="E253" s="2">
        <v>295050.0</v>
      </c>
      <c r="F253" s="2">
        <v>0.0</v>
      </c>
      <c r="G253" s="2">
        <v>100.0</v>
      </c>
      <c r="H253" s="2">
        <v>1</v>
      </c>
      <c r="I253" t="inlineStr" s="0">
        <is>
          <t>Ak 5634: Lähisuhteissa väkivallasta johtuvien kriisien keskellä tai niiden uhan alla elävien arjen turvallisuuden edistämiseen Keski- ja Itä-Uudenmaan alueen perhe ja lähisuhdeväkivaltatyön avopalvelumallin ylläpidon ja kehittämisen avulla (Väkivaltatyön avopalvelu Paasi) (295 050 €)</t>
        </is>
      </c>
    </row>
    <row r="254">
      <c r="A254" s="2">
        <v>253</v>
      </c>
      <c r="B254" s="2">
        <v>902</v>
      </c>
      <c r="C254" t="inlineStr" s="0">
        <is>
          <t>PÄIJÄT-HÄMEEN MUISTIYHDISTYS RY</t>
        </is>
      </c>
      <c r="D254" s="2">
        <v>293000.0</v>
      </c>
      <c r="E254" s="2">
        <v>293000.0</v>
      </c>
      <c r="F254" s="2">
        <v>0.0</v>
      </c>
      <c r="G254" s="2">
        <v>100.0</v>
      </c>
      <c r="H254" s="2">
        <v>1</v>
      </c>
      <c r="I254" t="inlineStr" s="0">
        <is>
          <t>Ak 3: Muistisairauksien asiantuntija- ja tukikeskuksen toimintaan ja muistisairaiden ja heidän läheistensä tukemiseen Päijät-Hämeen alueella - vertaisryhmätoiminnalla - ohjauksella ja neuvonnalla - vapaaehtoistoiminnalla - tiedotuksella - edunvalvonnalla (Muistiluotsi) (293 000 €)</t>
        </is>
      </c>
    </row>
    <row r="255">
      <c r="A255" s="2">
        <v>254</v>
      </c>
      <c r="B255" s="2">
        <v>236</v>
      </c>
      <c r="C255" t="inlineStr" s="0">
        <is>
          <t>SISKOT JA SIMOT RY</t>
        </is>
      </c>
      <c r="D255" s="2">
        <v>292425.0</v>
      </c>
      <c r="E255" s="2">
        <v>292425.0</v>
      </c>
      <c r="F255" s="2">
        <v>0.0</v>
      </c>
      <c r="G255" s="2">
        <v>100.0</v>
      </c>
      <c r="H255" s="2">
        <v>1</v>
      </c>
      <c r="I255" t="inlineStr" s="0">
        <is>
          <t>Ak 7384: Ikääntyneiden ja vapaaehtoisten yksinäisyyden vähentämiseen sekä osallisuuden ja yhteisöllisyyden vahvistamiseen vapaaehtoisten toteuttaman pop up -toiminnan avulla (292 425 €)</t>
        </is>
      </c>
    </row>
    <row r="256">
      <c r="A256" s="2">
        <v>255</v>
      </c>
      <c r="B256" s="2">
        <v>714</v>
      </c>
      <c r="C256" t="inlineStr" s="0">
        <is>
          <t>KAINUUN MUISTIYHDISTYS RY</t>
        </is>
      </c>
      <c r="D256" s="2">
        <v>291433.0</v>
      </c>
      <c r="E256" s="2">
        <v>291433.0</v>
      </c>
      <c r="F256" s="2">
        <v>0.0</v>
      </c>
      <c r="G256" s="2">
        <v>100.0</v>
      </c>
      <c r="H256" s="2">
        <v>1</v>
      </c>
      <c r="I256" t="inlineStr" s="0">
        <is>
          <t>Ak 2: Muistisairauksien asiantuntija- ja tukikeskuksen toimintaan ja muistisairaiden ja heidän läheistensä tukemiseen Kainuussa - vertaisryhmätoiminnalla - ohjauksella ja neuvonnalla - vapaaehtoistoiminnalla - tiedotuksella - edunvalvonnalla (Muistiluotsi) (291 433 €)</t>
        </is>
      </c>
    </row>
    <row r="257">
      <c r="A257" s="2">
        <v>256</v>
      </c>
      <c r="B257" s="2">
        <v>134</v>
      </c>
      <c r="C257" t="inlineStr" s="0">
        <is>
          <t>Kouvolan seudun Muisti ry</t>
        </is>
      </c>
      <c r="D257" s="2">
        <v>289958.0</v>
      </c>
      <c r="E257" s="2">
        <v>289958.0</v>
      </c>
      <c r="F257" s="2">
        <v>0.0</v>
      </c>
      <c r="G257" s="2">
        <v>100.0</v>
      </c>
      <c r="H257" s="2">
        <v>1</v>
      </c>
      <c r="I257" t="inlineStr" s="0">
        <is>
          <t>Ak 3: Muistisairauksien asiantuntija- ja tukikeskuksen toimintaan ja muistisairaiden ja heidän läheistensä tukemiseen Kymenlaaksossa - vertaisryhmätoiminnalla - ohjauksella ja neuvonnalla - vapaaehtoistoiminnalla - tiedotuksella - edunvalvonnalla (Muistiluotsi) (289 958 €)</t>
        </is>
      </c>
    </row>
    <row r="258">
      <c r="A258" s="2">
        <v>257</v>
      </c>
      <c r="B258" s="2">
        <v>806</v>
      </c>
      <c r="C258" t="inlineStr" s="0">
        <is>
          <t>Kilpirauhasliitto ry, Sköldkörtelförbundet rf</t>
        </is>
      </c>
      <c r="D258" s="2">
        <v>289714.0</v>
      </c>
      <c r="E258" s="2">
        <v>64274.0</v>
      </c>
      <c r="F258" s="2">
        <v>225440.0</v>
      </c>
      <c r="G258" s="2">
        <v>22.2</v>
      </c>
      <c r="H258" s="2">
        <v>3</v>
      </c>
      <c r="I258" t="inlineStr" s="0">
        <is>
          <t>Ay 1: Yleisavustuksena avustuksen saajan yleishyödylliseen toimintaan (225 440 €) | Ak 2: Kilpirauhas- ja lisäkilpirauhassairaiden sekä heidän läheistensä tiedon ja vertaistuen lisäämiseen liittyen sairauteen ja sen hoitovaihtoehtoihin sekä liitännäissairauksien (mm. sydän- ja verisuonisairaudet ja osteoporoosi) ennaltaehkäisemiseen voimavarakurssien avulla (50 274 €) | Ak 3: Jäsenjärjestöille kohdistettaviin avustuksiin (14 000 €)</t>
        </is>
      </c>
    </row>
    <row r="259">
      <c r="A259" s="2">
        <v>258</v>
      </c>
      <c r="B259" s="2">
        <v>492</v>
      </c>
      <c r="C259" t="inlineStr" s="0">
        <is>
          <t>Pohjois-Karjalan mielenterveysomaiset - Finfami ry</t>
        </is>
      </c>
      <c r="D259" s="2">
        <v>289000.0</v>
      </c>
      <c r="E259" s="2">
        <v>289000.0</v>
      </c>
      <c r="F259" s="2">
        <v>0.0</v>
      </c>
      <c r="G259" s="2">
        <v>100.0</v>
      </c>
      <c r="H259" s="2">
        <v>1</v>
      </c>
      <c r="I259" t="inlineStr" s="0">
        <is>
          <t>Ak 4: Mielenterveysomaisten osallisuuden ja toimintakyvyn vahvistamiseen henkilökohtaisen tuen ja neuvonnan, vertaistuen ja muun ryhmätoiminnan sekä yhteiskunnallisen vaikuttamisen avulla Pohjois-Karjalan ja Etelä-Karjalan maakuntien alueella (289 000 €)</t>
        </is>
      </c>
    </row>
    <row r="260">
      <c r="A260" s="2">
        <v>259</v>
      </c>
      <c r="B260" s="2">
        <v>473</v>
      </c>
      <c r="C260" t="inlineStr" s="0">
        <is>
          <t>Mannerheimin Lastensuojeluliiton Tampereen osasto ry</t>
        </is>
      </c>
      <c r="D260" s="2">
        <v>288922.0</v>
      </c>
      <c r="E260" s="2">
        <v>288922.0</v>
      </c>
      <c r="F260" s="2">
        <v>0.0</v>
      </c>
      <c r="G260" s="2">
        <v>100.0</v>
      </c>
      <c r="H260" s="2">
        <v>2</v>
      </c>
      <c r="I260" t="inlineStr" s="0">
        <is>
          <t>Ak 1: Perheiden tukemiseen erotilanteessa perhetapaamistoiminnan, vertaistuen, ohjauksen ja neuvonnan keinoin sekä erojen vähentämiseen ennaltaehkäisevän parisuhdetyön keinoin (Matalankynnyksen eropalvelut) (173 889 €) | Ak 6971: Maahanmuuttajaäitien osallisuuden ja kotoutumisen edistämiseen vapaaehtoisen ystävätoiminnan avulla sekä yhdistyksen monikulttuuriseen perhetoimintaan (Monikulttuurinen ystävä- ja perhetoiminta) (115 033 €)</t>
        </is>
      </c>
    </row>
    <row r="261">
      <c r="A261" s="2">
        <v>260</v>
      </c>
      <c r="B261" s="2">
        <v>220</v>
      </c>
      <c r="C261" t="inlineStr" s="0">
        <is>
          <t>Pohjois-Pohjanmaan sosiaali- ja terveysturvayhdistys ry</t>
        </is>
      </c>
      <c r="D261" s="2">
        <v>288750.0</v>
      </c>
      <c r="E261" s="2">
        <v>288750.0</v>
      </c>
      <c r="F261" s="2">
        <v>0.0</v>
      </c>
      <c r="G261" s="2">
        <v>100.0</v>
      </c>
      <c r="H261" s="2">
        <v>2</v>
      </c>
      <c r="I261" t="inlineStr" s="0">
        <is>
          <t>Ak 1: Järjestölähtöiseen toiminnan toteuttamiseen Oulussa sijaitsevan kumppanuuskeskuksen neuvontapisteessä, kansalaisten järjestötiedon ja osallisuuden lisäämiseen sekä järjestöjen välisen yhteistyön edistämiseen (168 000 €) | Ak 6940: OLKA-toimintamallin mukaiseen vapaaehtoistoiminnan koordinointiin, kehittämiseen ja toteuttamiseen sekä sairaaloiden ja järjestöjen yhteistyöhön Pohjois-Pohjanmaan hyvinvointialueella (120 750 €)</t>
        </is>
      </c>
    </row>
    <row r="262">
      <c r="A262" s="2">
        <v>261</v>
      </c>
      <c r="B262" s="2">
        <v>783</v>
      </c>
      <c r="C262" t="inlineStr" s="0">
        <is>
          <t>Turun Seudun Omaishoitajat ry, Åbo Regionens Närståendevårdare rf</t>
        </is>
      </c>
      <c r="D262" s="2">
        <v>287900.0</v>
      </c>
      <c r="E262" s="2">
        <v>287900.0</v>
      </c>
      <c r="F262" s="2">
        <v>0.0</v>
      </c>
      <c r="G262" s="2">
        <v>100.0</v>
      </c>
      <c r="H262" s="2">
        <v>1</v>
      </c>
      <c r="I262" t="inlineStr" s="0">
        <is>
          <t>Ak 1: Omaishoitajien toimintakyvyn tukemiseen tiedottamisen, neuvonnan, vertaistoiminnan ja valmennusten avulla Turun seudulla (OmaisOiva) (287 900 €)</t>
        </is>
      </c>
    </row>
    <row r="263">
      <c r="A263" s="2">
        <v>262</v>
      </c>
      <c r="B263" s="2">
        <v>652</v>
      </c>
      <c r="C263" t="inlineStr" s="0">
        <is>
          <t>Vantaan Venäläinen Klubi - Russkij Klub Vantaa ry</t>
        </is>
      </c>
      <c r="D263" s="2">
        <v>286920.0</v>
      </c>
      <c r="E263" s="2">
        <v>286920.0</v>
      </c>
      <c r="F263" s="2">
        <v>0.0</v>
      </c>
      <c r="G263" s="2">
        <v>100.0</v>
      </c>
      <c r="H263" s="2">
        <v>1</v>
      </c>
      <c r="I263" t="inlineStr" s="0">
        <is>
          <t>Ak 11336: Maahanmuuttajataustaisten toimintakyvyn, hyvinvoinnin ja työllistymisvalmiuksien edistämiseen neuvonnan, ryhmätoiminnan sekä järjestö- ja viranomaisyhteistyön avulla (Tsempataan!) (286 920 €)</t>
        </is>
      </c>
    </row>
    <row r="264">
      <c r="A264" s="2">
        <v>263</v>
      </c>
      <c r="B264" s="2">
        <v>1255</v>
      </c>
      <c r="C264" t="inlineStr" s="0">
        <is>
          <t>Lasten ja nuorten keskus ry</t>
        </is>
      </c>
      <c r="D264" s="2">
        <v>286315.0</v>
      </c>
      <c r="E264" s="2">
        <v>217315.0</v>
      </c>
      <c r="F264" s="2">
        <v>69000.0</v>
      </c>
      <c r="G264" s="2">
        <v>75.9</v>
      </c>
      <c r="H264" s="2">
        <v>3</v>
      </c>
      <c r="I264" t="inlineStr" s="0">
        <is>
          <t>Ak 3923: Nuorten sosiaalisia taitoja vahvistavan moottoripajatoiminnan valtakunnalliseen koordinointiin ja moottoripajatoiminnassa toimivien vapaaehtoisten koulutukseen. (Moottoripajatoiminta) (128 444 €) | Ak 3739: Palveluoperaatio Saappaan vapaaehtoistyön koulutustoimintaan ja koordinointiin.  (Palveluoperaatio Saapas) (88 871 €) | C 13724: Euroopan sosiaalirahasto plussan (ESR+) hankkeen  "Pikkuhelppiä perheille" osarahoitukseen järjestölle (2026) (69 000 €)</t>
        </is>
      </c>
    </row>
    <row r="265">
      <c r="A265" s="2">
        <v>264</v>
      </c>
      <c r="B265" s="2">
        <v>227</v>
      </c>
      <c r="C265" t="inlineStr" s="0">
        <is>
          <t>TAMPEREEN SEUDUN OMAISHOITAJAT RY</t>
        </is>
      </c>
      <c r="D265" s="2">
        <v>286000.0</v>
      </c>
      <c r="E265" s="2">
        <v>286000.0</v>
      </c>
      <c r="F265" s="2">
        <v>0.0</v>
      </c>
      <c r="G265" s="2">
        <v>100.0</v>
      </c>
      <c r="H265" s="2">
        <v>1</v>
      </c>
      <c r="I265" t="inlineStr" s="0">
        <is>
          <t>Ak 7: Omaishoitajien toimintakyvyn tukemiseen tiedottamisen, neuvonnan, vertaistoiminnan ja valmennusten avulla Pirkanmaan alueella (OmaisOiva) (286 000 €)</t>
        </is>
      </c>
    </row>
    <row r="266">
      <c r="A266" s="2">
        <v>265</v>
      </c>
      <c r="B266" s="2">
        <v>178</v>
      </c>
      <c r="C266" t="inlineStr" s="0">
        <is>
          <t>Nuorisoasuntoliitto NAL ry., Förbundet för Ungdomsbostäder NAL rf.</t>
        </is>
      </c>
      <c r="D266" s="2">
        <v>285302.0</v>
      </c>
      <c r="E266" s="2">
        <v>0.0</v>
      </c>
      <c r="F266" s="2">
        <v>285302.0</v>
      </c>
      <c r="G266" s="2">
        <v>0.0</v>
      </c>
      <c r="H266" s="2">
        <v>1</v>
      </c>
      <c r="I266" t="inlineStr" s="0">
        <is>
          <t>Ay 1: Yleisavustuksena avustuksen saajan yleishyödylliseen toimintaan (285 302 €)</t>
        </is>
      </c>
    </row>
    <row r="267">
      <c r="A267" s="2">
        <v>266</v>
      </c>
      <c r="B267" s="2">
        <v>443</v>
      </c>
      <c r="C267" t="inlineStr" s="0">
        <is>
          <t>Savon mielenterveysomaiset-FinFami ry</t>
        </is>
      </c>
      <c r="D267" s="2">
        <v>283500.0</v>
      </c>
      <c r="E267" s="2">
        <v>283500.0</v>
      </c>
      <c r="F267" s="2">
        <v>0.0</v>
      </c>
      <c r="G267" s="2">
        <v>100.0</v>
      </c>
      <c r="H267" s="2">
        <v>1</v>
      </c>
      <c r="I267" t="inlineStr" s="0">
        <is>
          <t>Ak 3: Mielenterveysomaisten hyvinvoinnin vahvistamiseen sekä arjen hallinnan parantamiseen henkilökohtaisen tuen ja neuvonnan, vertaistuen ja muun ryhmätoiminnan sekä yhteiskunnallisen vaikuttamisen avulla Pohjois- ja Etelä- Savon hyvinvointialueilla (283 500 €)</t>
        </is>
      </c>
    </row>
    <row r="268">
      <c r="A268" s="2">
        <v>267</v>
      </c>
      <c r="B268" s="2">
        <v>43</v>
      </c>
      <c r="C268" t="inlineStr" s="0">
        <is>
          <t>RIIPPUVUUDET RY</t>
        </is>
      </c>
      <c r="D268" s="2">
        <v>283256.0</v>
      </c>
      <c r="E268" s="2">
        <v>103256.0</v>
      </c>
      <c r="F268" s="2">
        <v>180000.0</v>
      </c>
      <c r="G268" s="2">
        <v>36.5</v>
      </c>
      <c r="H268" s="2">
        <v>2</v>
      </c>
      <c r="I268" t="inlineStr" s="0">
        <is>
          <t>Ay 6172: Yleisavustuksena avustuksen saajan yleishyödylliseen toimintaan (180 000 €) | Ak 5: Lasten ja nuorten päihdehaittojen ja riippuvuuksien ehkäisyyn riippuvuuksia koskevaa tietoa jakamalla sekä elämänhallinta- ja tunnetaitoja vahvistamalla (103 256 €)</t>
        </is>
      </c>
    </row>
    <row r="269">
      <c r="A269" s="2">
        <v>268</v>
      </c>
      <c r="B269" s="2">
        <v>132</v>
      </c>
      <c r="C269" t="inlineStr" s="0">
        <is>
          <t>Pohjanmaan Yhdistykset ry</t>
        </is>
      </c>
      <c r="D269" s="2">
        <v>282110.0</v>
      </c>
      <c r="E269" s="2">
        <v>282110.0</v>
      </c>
      <c r="F269" s="2">
        <v>0.0</v>
      </c>
      <c r="G269" s="2">
        <v>100.0</v>
      </c>
      <c r="H269" s="2">
        <v>2</v>
      </c>
      <c r="I269" t="inlineStr" s="0">
        <is>
          <t>Ak 1: Järjestöjen toimintaedellytysten tukemiseen Pohjanmaalla koordinoimalla järjestökeskuksen ja kohtaamispaikan toimintaa sekä edistämällä vapaaehtois- ja vertaistoimintaa. (165 560 €) | Ak 10277: OLKA-toimintamallin mukaiseen vapaaehtoistoiminnan suunnitteluun, koordinointiin, kehittämiseen ja toteuttamiseen sekä julkisen terveydenhuollon ja järjestöjen yhteistyöhön (OLKA-toiminta Pohjanmaan hyvinvointialueella) (116 550 €)</t>
        </is>
      </c>
    </row>
    <row r="270">
      <c r="A270" s="2">
        <v>269</v>
      </c>
      <c r="B270" s="2">
        <v>284</v>
      </c>
      <c r="C270" t="inlineStr" s="0">
        <is>
          <t>MIELI Lakeuden Mielenterveys ry</t>
        </is>
      </c>
      <c r="D270" s="2">
        <v>280586.0</v>
      </c>
      <c r="E270" s="2">
        <v>280586.0</v>
      </c>
      <c r="F270" s="2">
        <v>0.0</v>
      </c>
      <c r="G270" s="2">
        <v>100.0</v>
      </c>
      <c r="H270" s="2">
        <v>1</v>
      </c>
      <c r="I270" t="inlineStr" s="0">
        <is>
          <t>Ak 2: Vaikeissa elämäntilanteissa oleville henkilöille suunnattuun järjestölähtöiseen kriisi- ja mielenterveystyöhön yksilö- ja ryhmäauttamisen sekä kansalaistoiminnallisesti vapaaehtoistyön keinoin (MIELI Kriisikeskus Seinäjoki) (280 586 €)</t>
        </is>
      </c>
    </row>
    <row r="271">
      <c r="A271" s="2">
        <v>270</v>
      </c>
      <c r="B271" s="2">
        <v>2405</v>
      </c>
      <c r="C271" t="inlineStr" s="0">
        <is>
          <t>Suomen Merimieskirkko sr</t>
        </is>
      </c>
      <c r="D271" s="2">
        <v>280500.0</v>
      </c>
      <c r="E271" s="2">
        <v>280500.0</v>
      </c>
      <c r="F271" s="2">
        <v>0.0</v>
      </c>
      <c r="G271" s="2">
        <v>100.0</v>
      </c>
      <c r="H271" s="2">
        <v>1</v>
      </c>
      <c r="I271" t="inlineStr" s="0">
        <is>
          <t>Ak 13872: Ulkomailla asuvien ja erityisen tuen tarpeessa olevien liikkuvien suomalaisten sosiaalisen hyvinvoinnin lisäämiseen ja ylläpitämiseen sekä järjestölähtöiseen kriisiauttamiseen erilaisissa elämäntilanteissa yksilöllisen ja ryhmämuotoisen tuen, matalankynnyksen toiminnan, vertaistuen ja liikkuvan työn keinoin useissa eri maissa Euroopassa (280 500 €)</t>
        </is>
      </c>
    </row>
    <row r="272">
      <c r="A272" s="2">
        <v>271</v>
      </c>
      <c r="B272" s="2">
        <v>137</v>
      </c>
      <c r="C272" t="inlineStr" s="0">
        <is>
          <t>Exit ry</t>
        </is>
      </c>
      <c r="D272" s="2">
        <v>280000.0</v>
      </c>
      <c r="E272" s="2">
        <v>280000.0</v>
      </c>
      <c r="F272" s="2">
        <v>0.0</v>
      </c>
      <c r="G272" s="2">
        <v>100.0</v>
      </c>
      <c r="H272" s="2">
        <v>1</v>
      </c>
      <c r="I272" t="inlineStr" s="0">
        <is>
          <t>Ak 1: 13-29-vuotiaiden nuorten seksuaaliväkivallan ennaltaehkäisemiseen sekä ammattilaisten osaamisen vahvistamiseen kouluttamisen ja viestinnän avulla. Seksuaaliväkivaltaa kohdanneiden nuorten ja heidän vanhempiensa järjestölähtöiseen tukeen. (280 000 €)</t>
        </is>
      </c>
    </row>
    <row r="273">
      <c r="A273" s="2">
        <v>272</v>
      </c>
      <c r="B273" s="2">
        <v>131</v>
      </c>
      <c r="C273" t="inlineStr" s="0">
        <is>
          <t>SUOMEN MIGREENIYHDISTYS-MIGRÄNFÖREN. I FINLAND RY</t>
        </is>
      </c>
      <c r="D273" s="2">
        <v>279856.0</v>
      </c>
      <c r="E273" s="2">
        <v>46000.0</v>
      </c>
      <c r="F273" s="2">
        <v>233856.0</v>
      </c>
      <c r="G273" s="2">
        <v>16.4</v>
      </c>
      <c r="H273" s="2">
        <v>2</v>
      </c>
      <c r="I273" t="inlineStr" s="0">
        <is>
          <t>Ay 1: Yleisavustuksena avustuksen saajan yleishyödylliseen toimintaan (233 856 €) | Ak 9737: Migreeniä ja vaikeita päänsärkysairauksia sairastavien hyvinvoinnin, toimintakyvyn, työelämäosallisuuden ja yhdenvertaisuuden edistämiseen ammatillisesti organisoidun vapaaehtoistoiminnan keinoin (46 000 €)</t>
        </is>
      </c>
    </row>
    <row r="274">
      <c r="A274" s="2">
        <v>273</v>
      </c>
      <c r="B274" s="2">
        <v>865</v>
      </c>
      <c r="C274" t="inlineStr" s="0">
        <is>
          <t>TURVALINKKI RY</t>
        </is>
      </c>
      <c r="D274" s="2">
        <v>279736.0</v>
      </c>
      <c r="E274" s="2">
        <v>279736.0</v>
      </c>
      <c r="F274" s="2">
        <v>0.0</v>
      </c>
      <c r="G274" s="2">
        <v>100.0</v>
      </c>
      <c r="H274" s="2">
        <v>2</v>
      </c>
      <c r="I274" t="inlineStr" s="0">
        <is>
          <t>Ak 2: Mielenterveys- ja päihdekuntoutujien tai muusta syystä arjessa lisätukea tarvitsevien osallisuuden vahvistamiseen ja kuntoutumisen tukeen kohtaamispaikka- ja ryhmätoiminnoilla (Kuopion Päiväntasaaja) (150 942 €) | Ak 9458: Yli 18-vuotiaiden mielenterveys- ja päihdekuntoutujien sekä muista syistä yhteiskunnassa heikommassa asemassa olevien osallisuuden ja toimintakyvyn vahvistamiseen vertaisohjattujen luovien ryhmätoimintojen sekä vertaisohjaajakoulutusten avulla Kuopiossa (Kulttuuripaja Luode) (128 794 €)</t>
        </is>
      </c>
    </row>
    <row r="275">
      <c r="A275" s="2">
        <v>274</v>
      </c>
      <c r="B275" s="2">
        <v>1022</v>
      </c>
      <c r="C275" t="inlineStr" s="0">
        <is>
          <t>Äidit irti synnytysmasennuksesta ÄIMÄ ry</t>
        </is>
      </c>
      <c r="D275" s="2">
        <v>277218.0</v>
      </c>
      <c r="E275" s="2">
        <v>277218.0</v>
      </c>
      <c r="F275" s="2">
        <v>0.0</v>
      </c>
      <c r="G275" s="2">
        <v>100.0</v>
      </c>
      <c r="H275" s="2">
        <v>1</v>
      </c>
      <c r="I275" t="inlineStr" s="0">
        <is>
          <t>Ak 2: Synnytyksen jälkeiseen masennukseen, raskauden aikana ja/tai vauva-ajan psykooseihin sairastuneiden äitien ja perheiden vertaistukeen sekä näistä sairauksista tiedottamiseen ja kouluttamiseen (277 218 €)</t>
        </is>
      </c>
    </row>
    <row r="276">
      <c r="A276" s="2">
        <v>275</v>
      </c>
      <c r="B276" s="2">
        <v>729</v>
      </c>
      <c r="C276" t="inlineStr" s="0">
        <is>
          <t>NYKTERHETSFÖRBUNDET HÄLSA OCH TRAFIK RF</t>
        </is>
      </c>
      <c r="D276" s="2">
        <v>275625.0</v>
      </c>
      <c r="E276" s="2">
        <v>275625.0</v>
      </c>
      <c r="F276" s="2">
        <v>0.0</v>
      </c>
      <c r="G276" s="2">
        <v>100.0</v>
      </c>
      <c r="H276" s="2">
        <v>1</v>
      </c>
      <c r="I276" t="inlineStr" s="0">
        <is>
          <t>Ak 10105: För rusmedelsförebyggande och hälsofrämjande  arbete och sakkunnigtjänster i Svenskfinland (275 625 €)</t>
        </is>
      </c>
    </row>
    <row r="277">
      <c r="A277" s="2">
        <v>276</v>
      </c>
      <c r="B277" s="2">
        <v>1200</v>
      </c>
      <c r="C277" t="inlineStr" s="0">
        <is>
          <t>POHJOIS-KARJALAN SOSIAALITURVAYHDISTYS RY</t>
        </is>
      </c>
      <c r="D277" s="2">
        <v>274060.0</v>
      </c>
      <c r="E277" s="2">
        <v>47500.0</v>
      </c>
      <c r="F277" s="2">
        <v>226560.0</v>
      </c>
      <c r="G277" s="2">
        <v>17.3</v>
      </c>
      <c r="H277" s="2">
        <v>2</v>
      </c>
      <c r="I277" t="inlineStr" s="0">
        <is>
          <t>Ay 1538: Yleisavustuksena avustuksen saajan yleishyödylliseen toimintaan (226 560 €) | Ak 1: Yhdistysten tietoteknisten toimintaedellytysten ja osaamisen lisäämiseen sekä kansalaisten digiosaamisen edistämiseen Pohjois-Karjalassa. (47 500 €)</t>
        </is>
      </c>
    </row>
    <row r="278">
      <c r="A278" s="2">
        <v>277</v>
      </c>
      <c r="B278" s="2">
        <v>727</v>
      </c>
      <c r="C278" t="inlineStr" s="0">
        <is>
          <t>MIELI Kainuun mielenterveys ry</t>
        </is>
      </c>
      <c r="D278" s="2">
        <v>274038.0</v>
      </c>
      <c r="E278" s="2">
        <v>274038.0</v>
      </c>
      <c r="F278" s="2">
        <v>0.0</v>
      </c>
      <c r="G278" s="2">
        <v>100.0</v>
      </c>
      <c r="H278" s="2">
        <v>1</v>
      </c>
      <c r="I278" t="inlineStr" s="0">
        <is>
          <t>Ak 2502: Vaikeissa elämäntilanteissa oleville nuorille ja aikuisille tarkoitettuun järjestölähtöiseen mielenterveystyöhön ammatillisen kriisiauttamisen sekä vapaaehtoistoiminnan keinoin (MIELI Kriisikeskus Kainuu) (274 038 €)</t>
        </is>
      </c>
    </row>
    <row r="279">
      <c r="A279" s="2">
        <v>278</v>
      </c>
      <c r="B279" s="2">
        <v>431</v>
      </c>
      <c r="C279" t="inlineStr" s="0">
        <is>
          <t>VANTAAN JÄRJESTÖRINKI RY</t>
        </is>
      </c>
      <c r="D279" s="2">
        <v>273000.0</v>
      </c>
      <c r="E279" s="2">
        <v>273000.0</v>
      </c>
      <c r="F279" s="2">
        <v>0.0</v>
      </c>
      <c r="G279" s="2">
        <v>100.0</v>
      </c>
      <c r="H279" s="2">
        <v>1</v>
      </c>
      <c r="I279" t="inlineStr" s="0">
        <is>
          <t>Ak 1: Yhdistysten toimintaedellytysten turvaamiseen ja kehittämiseen, matalan kynnyksen kohtaamispaikan ylläpitoon, maahanmuuttajien omakieliseen neuvontaan sekä erilaisten tapahtumien järjestämiseen Vantaalla (273 000 €)</t>
        </is>
      </c>
    </row>
    <row r="280">
      <c r="A280" s="2">
        <v>279</v>
      </c>
      <c r="B280" s="2">
        <v>910</v>
      </c>
      <c r="C280" t="inlineStr" s="0">
        <is>
          <t>GERONTOLOGINEN RAVITSEMUS GERY RY</t>
        </is>
      </c>
      <c r="D280" s="2">
        <v>272750.0</v>
      </c>
      <c r="E280" s="2">
        <v>272750.0</v>
      </c>
      <c r="F280" s="2">
        <v>0.0</v>
      </c>
      <c r="G280" s="2">
        <v>100.0</v>
      </c>
      <c r="H280" s="2">
        <v>1</v>
      </c>
      <c r="I280" t="inlineStr" s="0">
        <is>
          <t>Ak 12301: Ikäihmisten hyvän ravitsemuksen, koetun toimintakyvyn, elämänlaadun ja hyvinvoinnin edistämiseen ohjauksen, luentojen, viestinnällisen yhteistyön ja käytännönläheisten materiaalien avulla (Voimaa ruuasta 2024-2026) (272 750 €)</t>
        </is>
      </c>
    </row>
    <row r="281">
      <c r="A281" s="2">
        <v>280</v>
      </c>
      <c r="B281" s="2">
        <v>51</v>
      </c>
      <c r="C281" t="inlineStr" s="0">
        <is>
          <t>Suomi-Syyria Ystävyysseura ry</t>
        </is>
      </c>
      <c r="D281" s="2">
        <v>270102.0</v>
      </c>
      <c r="E281" s="2">
        <v>270102.0</v>
      </c>
      <c r="F281" s="2">
        <v>0.0</v>
      </c>
      <c r="G281" s="2">
        <v>100.0</v>
      </c>
      <c r="H281" s="2">
        <v>2</v>
      </c>
      <c r="I281" t="inlineStr" s="0">
        <is>
          <t>Ak 6815: Maahan muuttaneiden arabiankielisten syrjäytymisen ehkäisemiseen, hyvinvoinnin ja osallisuuden lisäämiseen sekä kaksisuuntaisen kotoutumisen edistämiseen. Toimintamuotoina vapaaehtois- ja vertaisryhmätoiminta, neuvonta, yksilöohjaus, infotilaisuudet, koulutukset ja tapahtumat. (Siltoja arabiankielisille) (145 102 €) | Ak 9600: Maahanmuuttajataustaisten lasten koulutuksellisen yhdenvertaisuuden edistämiseen vanhempien vertaisryhmätoiminnalla, neuvonnalla ja infotilaisuuksilla sekä lasten vapaaehtoistoimintaan pohjautuvalla koulunkäynnin tuella ja ammattilaisten koulutuksilla ja verkosto- ja vaikuttamistyöllä (Siltoja vanhemmille) (125 000 €)</t>
        </is>
      </c>
    </row>
    <row r="282">
      <c r="A282" s="2">
        <v>281</v>
      </c>
      <c r="B282" s="2">
        <v>753</v>
      </c>
      <c r="C282" t="inlineStr" s="0">
        <is>
          <t>ELÄMÄNI SANKARI RY</t>
        </is>
      </c>
      <c r="D282" s="2">
        <v>269363.0</v>
      </c>
      <c r="E282" s="2">
        <v>269363.0</v>
      </c>
      <c r="F282" s="2">
        <v>0.0</v>
      </c>
      <c r="G282" s="2">
        <v>100.0</v>
      </c>
      <c r="H282" s="2">
        <v>1</v>
      </c>
      <c r="I282" t="inlineStr" s="0">
        <is>
          <t>Ak 3: Lasten ja nuorten sekä heitä kohtaavien aikuisten päihde- ja hyvinvointitietojen lisäämiseen pääasiallisesti koulu- ja oppilaitosympäristöissä tehtävällä kohtaavalla ehkäisevällä päihdetyöllä (269 363 €)</t>
        </is>
      </c>
    </row>
    <row r="283">
      <c r="A283" s="2">
        <v>282</v>
      </c>
      <c r="B283" s="2">
        <v>22</v>
      </c>
      <c r="C283" t="inlineStr" s="0">
        <is>
          <t>ETELÄ-POHJANMAAN MUISTIYHDISTYS RY</t>
        </is>
      </c>
      <c r="D283" s="2">
        <v>269010.0</v>
      </c>
      <c r="E283" s="2">
        <v>269010.0</v>
      </c>
      <c r="F283" s="2">
        <v>0.0</v>
      </c>
      <c r="G283" s="2">
        <v>100.0</v>
      </c>
      <c r="H283" s="2">
        <v>1</v>
      </c>
      <c r="I283" t="inlineStr" s="0">
        <is>
          <t>Ak 3: Muistisairauksien asiantuntija- ja tukikeskuksen toimintaan ja muistisairaiden ja heidän läheistensä tukemiseen Etelä-Pohjanmaalla  - vertaisryhmätoiminnalla - ohjauksella ja neuvonnalla - vapaaehtoistoiminnalla - tiedotuksella - edunvalvonnalla (Muistiluotsi) (269 010 €)</t>
        </is>
      </c>
    </row>
    <row r="284">
      <c r="A284" s="2">
        <v>283</v>
      </c>
      <c r="B284" s="2">
        <v>662</v>
      </c>
      <c r="C284" t="inlineStr" s="0">
        <is>
          <t>KESKI-SUOMEN ENSI- JA TURVAKOTI RY</t>
        </is>
      </c>
      <c r="D284" s="2">
        <v>267893.0</v>
      </c>
      <c r="E284" s="2">
        <v>267893.0</v>
      </c>
      <c r="F284" s="2">
        <v>0.0</v>
      </c>
      <c r="G284" s="2">
        <v>100.0</v>
      </c>
      <c r="H284" s="2">
        <v>2</v>
      </c>
      <c r="I284" t="inlineStr" s="0">
        <is>
          <t>Ak 9: Yksilö-, pari- ja ryhmämuotoiseen avokriisityöhön perhe- ja lähisuhdeväkivallan kokijoiden, tekijöiden ja altistuneiden kanssa sekä ennaltaehkäisevään lähisuhdeväkivaltatyöhön nuorten parissa ja hyvinvointialueelle (Lähisuhdeväkivaltatyön avopalvelu) (162 000 €) | Ak 7: Vanhempien ja yhden vanhemman perheiden jaksamisen tukemiseen neuvonnan sekä yksilö- ja vertaisryhmätoiminnan keinoin, eroa harkitsevien tai eronneiden tukemiseen ammatillisesti ja vertaistoiminnalla sekä vapaaehtoisdoula-toiminnan järjestämiseen erityistä tukea tarvitseville lapsiperheille (Vauvaperheohjaus, vapaaehtoisdoula- ja ero lapsiperheessä -toiminta sekä yhden vanhemman vauva- ja pikkulapsiperheille suunnattu tuki) (105 893 €)</t>
        </is>
      </c>
    </row>
    <row r="285">
      <c r="A285" s="2">
        <v>284</v>
      </c>
      <c r="B285" s="2">
        <v>436</v>
      </c>
      <c r="C285" t="inlineStr" s="0">
        <is>
          <t>AHJOLAN SETLEMENTTI RY</t>
        </is>
      </c>
      <c r="D285" s="2">
        <v>267784.0</v>
      </c>
      <c r="E285" s="2">
        <v>267784.0</v>
      </c>
      <c r="F285" s="2">
        <v>0.0</v>
      </c>
      <c r="G285" s="2">
        <v>100.0</v>
      </c>
      <c r="H285" s="2">
        <v>2</v>
      </c>
      <c r="I285" t="inlineStr" s="0">
        <is>
          <t>Ak 3: Erityistä sosiaalista tukea tarvitsevien tyttöjen, poikien ja moninaisesti sukupuolensa kokevien osallisuuden vahvistamiseen ja yksilöllisen kasvun tukemiseen matalan kynnyksen toiminnalla, ryhmätoiminnalla ja isosisarustoiminnalla (151 784 €) | Ak 12514: Syrjäytymisriskissä olevien ja vähävaraisten lapsiperheiden osallisuutta ja hyvinvointia vahvistavaan kohtaamispaikkatoimintaan, ryhmätoimintaan ja yhteisölliseen ruokailutoimintaan (Kotila-toiminta) (116 000 €)</t>
        </is>
      </c>
    </row>
    <row r="286">
      <c r="A286" s="2">
        <v>285</v>
      </c>
      <c r="B286" s="2">
        <v>310</v>
      </c>
      <c r="C286" t="inlineStr" s="0">
        <is>
          <t>OMAKAMU RY</t>
        </is>
      </c>
      <c r="D286" s="2">
        <v>267589.0</v>
      </c>
      <c r="E286" s="2">
        <v>267589.0</v>
      </c>
      <c r="F286" s="2">
        <v>0.0</v>
      </c>
      <c r="G286" s="2">
        <v>100.0</v>
      </c>
      <c r="H286" s="2">
        <v>1</v>
      </c>
      <c r="I286" t="inlineStr" s="0">
        <is>
          <t>Ak 5744: Vapaaehtoisten aikuisten rekrytoimiseen ja kouluttamiseen lasten ja nuorten tukihenkilöiksi, vapaaehtoisten ohjaamiseen sekä OmaKamu-toiminnan verkostoyhteistyön kehittämiseen (OmaKamu-toiminnan toteuttaminen) (267 589 €)</t>
        </is>
      </c>
    </row>
    <row r="287">
      <c r="A287" s="2">
        <v>286</v>
      </c>
      <c r="B287" s="2">
        <v>657</v>
      </c>
      <c r="C287" t="inlineStr" s="0">
        <is>
          <t>SUOMEN KIPU RY</t>
        </is>
      </c>
      <c r="D287" s="2">
        <v>266830.0</v>
      </c>
      <c r="E287" s="2">
        <v>266830.0</v>
      </c>
      <c r="F287" s="2">
        <v>0.0</v>
      </c>
      <c r="G287" s="2">
        <v>100.0</v>
      </c>
      <c r="H287" s="2">
        <v>2</v>
      </c>
      <c r="I287" t="inlineStr" s="0">
        <is>
          <t>Ak 11: Kipukroonikoiden ja heidän läheistensä osallisuuden edistämiseen ja arjen toimintakyvyn tukemiseen tiedon jakamisen, vertaistuen, arjen- ja kivunhallintakeinojen, yhteistyön ja vaikuttamistoiminnan keinoin. (145 171 €) | Ak 11789: Kipuoireisten työikäisten hyvinvoinnin ja työkyvyn tukemiseen verkkoryhmätoiminnan, verkkotilaisuuksien ja viestinnän avulla. Sosiaali- ja terveysalan ammattilaisten osaamisen lisäämiseen kivusta, kivunhallinnasta ja keinoista ammattilaisina vaikuttaa kipuoireisten työkykyyn. (Kipu ja työ kohtaavat) (121 659 €)</t>
        </is>
      </c>
    </row>
    <row r="288">
      <c r="A288" s="2">
        <v>287</v>
      </c>
      <c r="B288" s="2">
        <v>563</v>
      </c>
      <c r="C288" t="inlineStr" s="0">
        <is>
          <t>ASUMISTERVEYSLIITTO ASTE RY</t>
        </is>
      </c>
      <c r="D288" s="2">
        <v>265000.0</v>
      </c>
      <c r="E288" s="2">
        <v>265000.0</v>
      </c>
      <c r="F288" s="2">
        <v>0.0</v>
      </c>
      <c r="G288" s="2">
        <v>100.0</v>
      </c>
      <c r="H288" s="2">
        <v>1</v>
      </c>
      <c r="I288" t="inlineStr" s="0">
        <is>
          <t>Ak 2: Asumisterveysongelmien vuoksi vaikeuksiin joutuneiden perheiden asumisterveysneuvontaan ja tukemiseen puhelin- ja verkkoauttamisen sekä yksilö- ja ryhmämuotoisen toiminnan keinoin. Asumisterveystiedon lisäämiseen viestinnän ja vaikuttamistyön avulla (265 000 €)</t>
        </is>
      </c>
    </row>
    <row r="289">
      <c r="A289" s="2">
        <v>288</v>
      </c>
      <c r="B289" s="2">
        <v>965</v>
      </c>
      <c r="C289" t="inlineStr" s="0">
        <is>
          <t>Vammaisperheyhdistys Jaatinen ry</t>
        </is>
      </c>
      <c r="D289" s="2">
        <v>264877.0</v>
      </c>
      <c r="E289" s="2">
        <v>264877.0</v>
      </c>
      <c r="F289" s="2">
        <v>0.0</v>
      </c>
      <c r="G289" s="2">
        <v>100.0</v>
      </c>
      <c r="H289" s="2">
        <v>1</v>
      </c>
      <c r="I289" t="inlineStr" s="0">
        <is>
          <t>Ak 1: Vammaisten lasten ja nuorten sekä heidän perheidensä hyvinvoinnin ja jaksamisen tukemiseen matalan kynnyksen kohtaamispaikkatoiminnan, toimintavälinevuokrauksen, harrastustoiminnan, vertaistuen ja neuvonnan avulla (264 877 €)</t>
        </is>
      </c>
    </row>
    <row r="290">
      <c r="A290" s="2">
        <v>289</v>
      </c>
      <c r="B290" s="2">
        <v>1075</v>
      </c>
      <c r="C290" t="inlineStr" s="0">
        <is>
          <t>MIKKELIN SEUDUN MUISTI RY</t>
        </is>
      </c>
      <c r="D290" s="2">
        <v>264000.0</v>
      </c>
      <c r="E290" s="2">
        <v>264000.0</v>
      </c>
      <c r="F290" s="2">
        <v>0.0</v>
      </c>
      <c r="G290" s="2">
        <v>100.0</v>
      </c>
      <c r="H290" s="2">
        <v>1</v>
      </c>
      <c r="I290" t="inlineStr" s="0">
        <is>
          <t>Ak 2: Muistisairauksien asiantuntija- ja tukikeskuksen toimintaan ja muistisairaiden ja heidän läheistensä tukemiseen Mikkelin seudulla - vertaisryhmätoiminnalla - ohjauksella ja neuvonnalla - vapaaehtoistoiminnalla - tiedotuksella - edunvalvonnalla (Muistiluotsi) (264 000 €)</t>
        </is>
      </c>
    </row>
    <row r="291">
      <c r="A291" s="2">
        <v>290</v>
      </c>
      <c r="B291" s="2">
        <v>838</v>
      </c>
      <c r="C291" t="inlineStr" s="0">
        <is>
          <t>POHJOIS-KARJALAN MUISTI RY</t>
        </is>
      </c>
      <c r="D291" s="2">
        <v>262500.0</v>
      </c>
      <c r="E291" s="2">
        <v>262500.0</v>
      </c>
      <c r="F291" s="2">
        <v>0.0</v>
      </c>
      <c r="G291" s="2">
        <v>100.0</v>
      </c>
      <c r="H291" s="2">
        <v>1</v>
      </c>
      <c r="I291" t="inlineStr" s="0">
        <is>
          <t>Ak 2: Muistisairauksien asiantuntija- ja tukikeskuksen toimintaan ja muistisairaiden ja heidän läheistensä tukemiseen Pohjois-Karjalassa - vertaisryhmätoiminnalla - ohjauksella ja neuvonnalla - vapaaehtoistoiminnalla - tiedotuksella - edunvalvonnalla (Muistiluotsi) (262 500 €)</t>
        </is>
      </c>
    </row>
    <row r="292">
      <c r="A292" s="2">
        <v>291</v>
      </c>
      <c r="B292" s="2">
        <v>897</v>
      </c>
      <c r="C292" t="inlineStr" s="0">
        <is>
          <t>KRAN RF</t>
        </is>
      </c>
      <c r="D292" s="2">
        <v>261592.0</v>
      </c>
      <c r="E292" s="2">
        <v>86000.0</v>
      </c>
      <c r="F292" s="2">
        <v>175592.0</v>
      </c>
      <c r="G292" s="2">
        <v>32.9</v>
      </c>
      <c r="H292" s="2">
        <v>2</v>
      </c>
      <c r="I292" t="inlineStr" s="0">
        <is>
          <t>Ay 1: Som allmänt understöd för understödstagarens allmännyttiga verksamhet (175 592 €) | Ak 11819: För höjning av välmående hos missbrukare och deras närstående med hjälp av utbildade erfarenhetsexperters lågtröskelmottagningar i Helsingfors, Esbo, Vanda, Borgå och Vasa (86 000 €)</t>
        </is>
      </c>
    </row>
    <row r="293">
      <c r="A293" s="2">
        <v>292</v>
      </c>
      <c r="B293" s="2">
        <v>35</v>
      </c>
      <c r="C293" t="inlineStr" s="0">
        <is>
          <t>MIELI Tukitalo mielenterveys ry</t>
        </is>
      </c>
      <c r="D293" s="2">
        <v>261292.0</v>
      </c>
      <c r="E293" s="2">
        <v>261292.0</v>
      </c>
      <c r="F293" s="2">
        <v>0.0</v>
      </c>
      <c r="G293" s="2">
        <v>100.0</v>
      </c>
      <c r="H293" s="2">
        <v>1</v>
      </c>
      <c r="I293" t="inlineStr" s="0">
        <is>
          <t>Ak 1: Vaikeissa elämäntilanteissa oleville henkilöille tarkoitettuun järjestölähtöiseen kriisi- ja mielenterveystyöhön kasvokkaisten asiakastapaamisten, puhelin-, verkkotyön sekä ryhmätoiminnan avulla. Kriisi- ja mielenterveystyöhön liittyvän vapaaehtoistoiminnan ylläpitoon ja vahvistamiseen Länsi-Pirkanmaalla ja Kaakkois-Satakunnassa. (Kriisikeskus Tukitalo) (261 292 €)</t>
        </is>
      </c>
    </row>
    <row r="294">
      <c r="A294" s="2">
        <v>293</v>
      </c>
      <c r="B294" s="2">
        <v>925</v>
      </c>
      <c r="C294" t="inlineStr" s="0">
        <is>
          <t>KANTA-HÄMEEN MUISTIYHDISTYS RY</t>
        </is>
      </c>
      <c r="D294" s="2">
        <v>259560.0</v>
      </c>
      <c r="E294" s="2">
        <v>259560.0</v>
      </c>
      <c r="F294" s="2">
        <v>0.0</v>
      </c>
      <c r="G294" s="2">
        <v>100.0</v>
      </c>
      <c r="H294" s="2">
        <v>1</v>
      </c>
      <c r="I294" t="inlineStr" s="0">
        <is>
          <t>Ak 2: Muistisairauksien asiantuntija- ja tukikeskuksen toimintaan ja muistisairaiden ja heidän läheistensä tukemiseen Kanta-Hämeen alueella - vertaisryhmätoiminnalla - ohjauksella ja neuvonnalla - vapaaehtoistoiminnalla - tiedotuksella - edunvalvonnalla (Muistiluotsi) (259 560 €)</t>
        </is>
      </c>
    </row>
    <row r="295">
      <c r="A295" s="2">
        <v>294</v>
      </c>
      <c r="B295" s="2">
        <v>542</v>
      </c>
      <c r="C295" t="inlineStr" s="0">
        <is>
          <t>MIKKELIN SETLEMENTTI RY</t>
        </is>
      </c>
      <c r="D295" s="2">
        <v>259088.0</v>
      </c>
      <c r="E295" s="2">
        <v>259088.0</v>
      </c>
      <c r="F295" s="2">
        <v>0.0</v>
      </c>
      <c r="G295" s="2">
        <v>100.0</v>
      </c>
      <c r="H295" s="2">
        <v>1</v>
      </c>
      <c r="I295" t="inlineStr" s="0">
        <is>
          <t>Ak 1: Ikääntyneiden hyvinvointia edistävään kohtaamispaikka- ja vertaistukitoimintaan (259 088 €)</t>
        </is>
      </c>
    </row>
    <row r="296">
      <c r="A296" s="2">
        <v>295</v>
      </c>
      <c r="B296" s="2">
        <v>229</v>
      </c>
      <c r="C296" t="inlineStr" s="0">
        <is>
          <t>ITÄ-UUDENMAAN SOSIAALIPSYKIATRINEN YHDISTYS RY</t>
        </is>
      </c>
      <c r="D296" s="2">
        <v>257985.0</v>
      </c>
      <c r="E296" s="2">
        <v>257985.0</v>
      </c>
      <c r="F296" s="2">
        <v>0.0</v>
      </c>
      <c r="G296" s="2">
        <v>100.0</v>
      </c>
      <c r="H296" s="2">
        <v>2</v>
      </c>
      <c r="I296" t="inlineStr" s="0">
        <is>
          <t>Ak 2: Mielenterveyskuntoutujien terveyttä, hyvinvointia, osallisuutta sekä työ- ja opiskeluelämään palaamista edistävään matalankynnyksen tavoitteelliseen toimintaan (Porvoon FH-klubitalo) (176 400 €) | Ak 4212: Mielenterveyskuntoutujien terveyttä, hyvinvointia, osallisuutta sekä työ- ja opiskeluelämään palaamista edistävään  matalankynnyksen tavoitteelliseen toimintaan (Loviisan klubitalo) (81 585 €)</t>
        </is>
      </c>
    </row>
    <row r="297">
      <c r="A297" s="2">
        <v>296</v>
      </c>
      <c r="B297" s="2">
        <v>1202</v>
      </c>
      <c r="C297" t="inlineStr" s="0">
        <is>
          <t>INTERPEDIA RY</t>
        </is>
      </c>
      <c r="D297" s="2">
        <v>255895.0</v>
      </c>
      <c r="E297" s="2">
        <v>255895.0</v>
      </c>
      <c r="F297" s="2">
        <v>0.0</v>
      </c>
      <c r="G297" s="2">
        <v>100.0</v>
      </c>
      <c r="H297" s="2">
        <v>1</v>
      </c>
      <c r="I297" t="inlineStr" s="0">
        <is>
          <t>Ak 3: Suomalaisten adoptiohakijoiden, adoptiovanhempien ja adoptoitujen tukemiseen tiedotuksen ja ohjauksen keinoin adoptioprosessin eri vaiheissa (kansainvälinen adoptiotoiminta) (255 895 €)</t>
        </is>
      </c>
    </row>
    <row r="298">
      <c r="A298" s="2">
        <v>297</v>
      </c>
      <c r="B298" s="2">
        <v>1123</v>
      </c>
      <c r="C298" t="inlineStr" s="0">
        <is>
          <t>VIADIA JOENSUU RY</t>
        </is>
      </c>
      <c r="D298" s="2">
        <v>255028.0</v>
      </c>
      <c r="E298" s="2">
        <v>255028.0</v>
      </c>
      <c r="F298" s="2">
        <v>0.0</v>
      </c>
      <c r="G298" s="2">
        <v>100.0</v>
      </c>
      <c r="H298" s="2">
        <v>2</v>
      </c>
      <c r="I298" t="inlineStr" s="0">
        <is>
          <t>Ak 11025: Ruoka-apua hakevien toimijuutta ja osallisuutta vahvistavaan  kohtaamispaikkatoimintaan (ViaDia Joensuun Laituri) (133 753 €) | Ak 2521: Taloudellisissa ja sosiaalisissa ongelmissa olevien lapsiperheiden ja maahanmuuttajaperheiden koetun hyvinvoinnin lisäämiseen, syrjäytymisen ennaltaehkäisyyn ja arjen taitojen lisäämiseen  kohtaamispaikkatoiminnan, vertaisryhmien ja tapahtumien kautta (Rantakylän Lähiötalo) (121 275 €)</t>
        </is>
      </c>
    </row>
    <row r="299">
      <c r="A299" s="2">
        <v>298</v>
      </c>
      <c r="B299" s="2">
        <v>94</v>
      </c>
      <c r="C299" t="inlineStr" s="0">
        <is>
          <t>KAUHAVAN SEUDUN VANHUSTENKOTIYHDISTYS RY</t>
        </is>
      </c>
      <c r="D299" s="2">
        <v>254678.0</v>
      </c>
      <c r="E299" s="2">
        <v>254678.0</v>
      </c>
      <c r="F299" s="2">
        <v>0.0</v>
      </c>
      <c r="G299" s="2">
        <v>100.0</v>
      </c>
      <c r="H299" s="2">
        <v>1</v>
      </c>
      <c r="I299" t="inlineStr" s="0">
        <is>
          <t>Ak 4109: Kotona asuvien ikäihmisten toimintakyvyn ja hyvinvoinnin vahvistamiseen ryhmä-, vapaaehtois- ja vertaistoiminnan sekä asiantuntijatoiminnan keinoin Kauhavan, Evijärven ja Lappajärven alueilla (Aijjoos-kumppanuustoiminta - yhdessä enemmän hyvinvointia) (254 678 €)</t>
        </is>
      </c>
    </row>
    <row r="300">
      <c r="A300" s="2">
        <v>299</v>
      </c>
      <c r="B300" s="2">
        <v>862</v>
      </c>
      <c r="C300" t="inlineStr" s="0">
        <is>
          <t>Riemu Finland ry</t>
        </is>
      </c>
      <c r="D300" s="2">
        <v>253859.0</v>
      </c>
      <c r="E300" s="2">
        <v>167776.0</v>
      </c>
      <c r="F300" s="2">
        <v>86083.0</v>
      </c>
      <c r="G300" s="2">
        <v>66.1</v>
      </c>
      <c r="H300" s="2">
        <v>5</v>
      </c>
      <c r="I300" t="inlineStr" s="0">
        <is>
          <t>Ay 6280: Yleisavustuksena avustuksen saajan yleishyödylliseen toimintaan (86 083 €) | Ak 4418: Nuorten työelämä- ja opiskeluosallisuuden, aktiivisen toimijuuden ja mielenterveyden edistämiseen sekä terveyttä edistävien elämäntapojen vahvistamiseen ryhmämuotoisen Ink-tiimitoiminnan avulla (66 667 €) | Ak 6460: Nuorten sosiaaliseen vahvistamiseen, terveyden ja hyvinvoinnin edistämiseen sekä päihdekokeilujen ja päihteiden käytön ehkäisemiseen Riemu-päihdekasvatuskokonaisuuksia tai sen osasisältöjä toteuttamalla (47 775 €) | Ak 11316: Haavoittuvassa asemassa olevien nuorten aikuisten mielenterveyden vahvistamiseen, voimavarojen lisäämiseen sekä yksinäisyyden vähentämiseen verkossa toteutettavalla vertaisryhmätoiminnalla (26 667 €) | Ak 12523: Pelikulttuurisesti orientoituneiden, ensisijaisesti ulkopuolisuutta, yksinäisyyttä, kiusaamista tai pelaamisen haittoja kokeneiden nuorten yksinäisyyden vähentämiseen sekä pystyvyyden kokemusten ja resilienssin vahvistamiseen verkossa sekä paikanpäällä tapahtuvan vertaisryhmätoiminnan avulla (26 667 €)</t>
        </is>
      </c>
    </row>
    <row r="301">
      <c r="A301" s="2">
        <v>300</v>
      </c>
      <c r="B301" s="2">
        <v>908</v>
      </c>
      <c r="C301" t="inlineStr" s="0">
        <is>
          <t>VIRIKE RY</t>
        </is>
      </c>
      <c r="D301" s="2">
        <v>253365.0</v>
      </c>
      <c r="E301" s="2">
        <v>253365.0</v>
      </c>
      <c r="F301" s="2">
        <v>0.0</v>
      </c>
      <c r="G301" s="2">
        <v>100.0</v>
      </c>
      <c r="H301" s="2">
        <v>1</v>
      </c>
      <c r="I301" t="inlineStr" s="0">
        <is>
          <t>Ak 2: Mielenterveys- ja päihdetoipujien osallisuutta vahvistavan matalan kynnyksen kohtaamispaikan toimintaan Mikkelissä sekä vapaaehtois-, vertais- ja kokemusasiantuntijatoiminnan koordinointiin ja kouluttamiseen Etelä-Savon alueella (253 365 €)</t>
        </is>
      </c>
    </row>
    <row r="302">
      <c r="A302" s="2">
        <v>301</v>
      </c>
      <c r="B302" s="2">
        <v>817</v>
      </c>
      <c r="C302" t="inlineStr" s="0">
        <is>
          <t>TAMPEREEN SEUDUN NÄKÖVAMMAISET RY</t>
        </is>
      </c>
      <c r="D302" s="2">
        <v>253111.0</v>
      </c>
      <c r="E302" s="2">
        <v>253111.0</v>
      </c>
      <c r="F302" s="2">
        <v>0.0</v>
      </c>
      <c r="G302" s="2">
        <v>100.0</v>
      </c>
      <c r="H302" s="2">
        <v>1</v>
      </c>
      <c r="I302" t="inlineStr" s="0">
        <is>
          <t>Ak 3: Näkövammaisten itsenäisen elämän tukemiseen vertais- ja ryhmätoiminnan, digituen, viestinnän ja vaikuttamistyön avulla Pirkanmaan ja Kanta-Hämeen alueella - Digitukeen Satakunnan alueella (253 111 €)</t>
        </is>
      </c>
    </row>
    <row r="303">
      <c r="A303" s="2">
        <v>302</v>
      </c>
      <c r="B303" s="2">
        <v>687</v>
      </c>
      <c r="C303" t="inlineStr" s="0">
        <is>
          <t>Raittiuden Ystävät ry</t>
        </is>
      </c>
      <c r="D303" s="2">
        <v>252000.0</v>
      </c>
      <c r="E303" s="2">
        <v>0.0</v>
      </c>
      <c r="F303" s="2">
        <v>252000.0</v>
      </c>
      <c r="G303" s="2">
        <v>0.0</v>
      </c>
      <c r="H303" s="2">
        <v>1</v>
      </c>
      <c r="I303" t="inlineStr" s="0">
        <is>
          <t>Ay 1: Yleisavustuksena avustuksen saajan yleishyödylliseen toimintaan (252 000 €)</t>
        </is>
      </c>
    </row>
    <row r="304">
      <c r="A304" s="2">
        <v>303</v>
      </c>
      <c r="B304" s="2">
        <v>141</v>
      </c>
      <c r="C304" t="inlineStr" s="0">
        <is>
          <t>PERHEKUNTOUTUSKESKUS LAUSTE RY</t>
        </is>
      </c>
      <c r="D304" s="2">
        <v>250766.0</v>
      </c>
      <c r="E304" s="2">
        <v>250766.0</v>
      </c>
      <c r="F304" s="2">
        <v>0.0</v>
      </c>
      <c r="G304" s="2">
        <v>100.0</v>
      </c>
      <c r="H304" s="2">
        <v>2</v>
      </c>
      <c r="I304" t="inlineStr" s="0">
        <is>
          <t>Ak 12807: Nuorten tyttöjen alkavien mielenterveysoireiden varhaiseen tunnistamiseen ja suojaavien tekijöiden lisäämiseen kehitettyyn Tyttö olet helmi! -etäohjaukseen, joka on suunnattu yläkouluikäikäisille tytöille ja heidän äideilleen (Tyttö olet helmi! -toiminta) (155 400 €) | Ak 12806: Neuropsykiatrisesti oireilevien nuorten kasvun ja kehityksen edistämiseen sekä syrjäytymisen riskin ennaltaehkäisyyn vahvistamalla poikien ja isien välistä suhdetta toiminnallisin menetelmin (Isät ja pojat puussa – seikkailutoimintaa neuropsykiatrisesti oireileville pojille ja heidän isilleen) (95 366 €)</t>
        </is>
      </c>
    </row>
    <row r="305">
      <c r="A305" s="2">
        <v>304</v>
      </c>
      <c r="B305" s="2">
        <v>1164</v>
      </c>
      <c r="C305" t="inlineStr" s="0">
        <is>
          <t>BALANSSI RY</t>
        </is>
      </c>
      <c r="D305" s="2">
        <v>250000.0</v>
      </c>
      <c r="E305" s="2">
        <v>250000.0</v>
      </c>
      <c r="F305" s="2">
        <v>0.0</v>
      </c>
      <c r="G305" s="2">
        <v>100.0</v>
      </c>
      <c r="H305" s="2">
        <v>1</v>
      </c>
      <c r="I305" t="inlineStr" s="0">
        <is>
          <t>Ak 3: Mielenterveystoipujien ja heidän läheistensä osallisuuden vahvistamiseen vapaaehtois-, vertais- ja kohtaamispaikkatoiminnoilla Rovaniemellä sekä mielenterveysyhdistysten vapaaehtoistoiminnan tukemisella ja verkostotyön toteuttamisella Pohjois-Suomessa (250 000 €)</t>
        </is>
      </c>
    </row>
    <row r="306">
      <c r="A306" s="2">
        <v>305</v>
      </c>
      <c r="B306" s="2">
        <v>680</v>
      </c>
      <c r="C306" t="inlineStr" s="0">
        <is>
          <t>Heta - henkilökohtaisten avustajien työnantajien liitto ry</t>
        </is>
      </c>
      <c r="D306" s="2">
        <v>249686.0</v>
      </c>
      <c r="E306" s="2">
        <v>249686.0</v>
      </c>
      <c r="F306" s="2">
        <v>0.0</v>
      </c>
      <c r="G306" s="2">
        <v>100.0</v>
      </c>
      <c r="H306" s="2">
        <v>2</v>
      </c>
      <c r="I306" t="inlineStr" s="0">
        <is>
          <t>Ak 5: Henkilökohtaisen avustajan työnantajamallin toimivuuden vahvistamiseen työnantajamalliin liittyviin oikeudellisiin kysymyksiin keskittyvällä neuvontapuhelintoiminnalla (Heta-Help) (218 943 €) | Ak 12503: Henkilökohtaisten avustajien työnantajiien voimavarojen lisäämiseen ja työnantajuudessa tukemiseen ryhmä- ja yksilömuotoisen vertaistuen avulla - Vertaistukihenkilöiden kouluttamiseen (30 743 €)</t>
        </is>
      </c>
    </row>
    <row r="307">
      <c r="A307" s="2">
        <v>306</v>
      </c>
      <c r="B307" s="2">
        <v>1193</v>
      </c>
      <c r="C307" t="inlineStr" s="0">
        <is>
          <t>ETELÄ-KARJALAN MUISTI RY</t>
        </is>
      </c>
      <c r="D307" s="2">
        <v>246000.0</v>
      </c>
      <c r="E307" s="2">
        <v>246000.0</v>
      </c>
      <c r="F307" s="2">
        <v>0.0</v>
      </c>
      <c r="G307" s="2">
        <v>100.0</v>
      </c>
      <c r="H307" s="2">
        <v>1</v>
      </c>
      <c r="I307" t="inlineStr" s="0">
        <is>
          <t>Ak 3: Muistisairauksien asiantuntija- ja tukikeskuksen toimintaan ja muistisairaiden ja heidän läheistensä tukemiseen Etelä- Karjalassa - vertaisryhmätoiminnalla  - ohjauksella ja neuvonnalla  - vapaaehtoistoiminnalla - tiedotuksella  - edunvalvonnalla  (Muistiluotsi) (246 000 €)</t>
        </is>
      </c>
    </row>
    <row r="308">
      <c r="A308" s="2">
        <v>307</v>
      </c>
      <c r="B308" s="2">
        <v>592</v>
      </c>
      <c r="C308" t="inlineStr" s="0">
        <is>
          <t>KUOPION INVALIDIT RY</t>
        </is>
      </c>
      <c r="D308" s="2">
        <v>245000.0</v>
      </c>
      <c r="E308" s="2">
        <v>245000.0</v>
      </c>
      <c r="F308" s="2">
        <v>0.0</v>
      </c>
      <c r="G308" s="2">
        <v>100.0</v>
      </c>
      <c r="H308" s="2">
        <v>1</v>
      </c>
      <c r="I308" t="inlineStr" s="0">
        <is>
          <t>Ak 1: Kuopion alueen vammais- ja kansanterveysjärjestöjen yhteistoiminnan sekä tukihenkilö- ja vapaaehtoistyön edistämiseen ja kehittämiseen verkosto-, ryhmä-, koulutus- ja viestintätoiminnoilla sekä OLKA toiminnan toteuttamiseen KYS:ssa (Kansalaistoimintakeskus Tukipilari) (245 000 €)</t>
        </is>
      </c>
    </row>
    <row r="309">
      <c r="A309" s="2">
        <v>308</v>
      </c>
      <c r="B309" s="2">
        <v>992</v>
      </c>
      <c r="C309" t="inlineStr" s="0">
        <is>
          <t>NIILO MÄKI -SÄÄTIÖ</t>
        </is>
      </c>
      <c r="D309" s="2">
        <v>244350.0</v>
      </c>
      <c r="E309" s="2">
        <v>90000.0</v>
      </c>
      <c r="F309" s="2">
        <v>154350.0</v>
      </c>
      <c r="G309" s="2">
        <v>36.8</v>
      </c>
      <c r="H309" s="2">
        <v>2</v>
      </c>
      <c r="I309" t="inlineStr" s="0">
        <is>
          <t>Ay 5: Yleisavustuksena avustuksen saajan yleishyödylliseen toimintaan (154 350 €) | Ak 4398: Lasten kielellisten taitojen tukemiseen, lukuinnostuksen lisäämiseen ja lukutaidon parantamiseen (Lukumummi ja -vaari toiminta) (90 000 €)</t>
        </is>
      </c>
    </row>
    <row r="310">
      <c r="A310" s="2">
        <v>309</v>
      </c>
      <c r="B310" s="2">
        <v>1137</v>
      </c>
      <c r="C310" t="inlineStr" s="0">
        <is>
          <t>MIELI Salon mielenterveys ry</t>
        </is>
      </c>
      <c r="D310" s="2">
        <v>243549.0</v>
      </c>
      <c r="E310" s="2">
        <v>243549.0</v>
      </c>
      <c r="F310" s="2">
        <v>0.0</v>
      </c>
      <c r="G310" s="2">
        <v>100.0</v>
      </c>
      <c r="H310" s="2">
        <v>1</v>
      </c>
      <c r="I310" t="inlineStr" s="0">
        <is>
          <t>Ak 1: Järjestölähtöiseen kriisi- ja mielenterveystyöhön vaikeissa elämäntilanteissa oleville puhelimitse, verkossa, kasvokkaisissa asiakastapaamisissa, ammatillisesti ohjatuissa ryhmissä ja tukihenkilötoiminnassa (Kriisikeskus Etappi) (243 549 €)</t>
        </is>
      </c>
    </row>
    <row r="311">
      <c r="A311" s="2">
        <v>310</v>
      </c>
      <c r="B311" s="2">
        <v>508</v>
      </c>
      <c r="C311" t="inlineStr" s="0">
        <is>
          <t>NUORTEN MIELENTERVEYSSEURA - YEESI RY</t>
        </is>
      </c>
      <c r="D311" s="2">
        <v>240393.0</v>
      </c>
      <c r="E311" s="2">
        <v>240393.0</v>
      </c>
      <c r="F311" s="2">
        <v>0.0</v>
      </c>
      <c r="G311" s="2">
        <v>100.0</v>
      </c>
      <c r="H311" s="2">
        <v>2</v>
      </c>
      <c r="I311" t="inlineStr" s="0">
        <is>
          <t>Ak 10149: Yläkoululaisten ja toisen asteen opiskelijoiden mielenterveyden ja elämäntaitojen vahvistamiseen työpajoilla, opiskelijalähtöisillä projekteilla sekä mentorointitoiminnalla (132 000 €) | Ak 2364: Nuorten mielenterveyden edistämiseen nuorilta nuorille periaatteella, nuoria osallistavien toimintamallien levittämiseen sekä vaikuttamistyöhön erityisesti internetiä ja sosiaalista mediaa hyödyntämällä (108 393 €)</t>
        </is>
      </c>
    </row>
    <row r="312">
      <c r="A312" s="2">
        <v>311</v>
      </c>
      <c r="B312" s="2">
        <v>784</v>
      </c>
      <c r="C312" t="inlineStr" s="0">
        <is>
          <t>ETELÄ-SAVON HYVINVOINTIJÄRJESTÖJEN TUKI RY</t>
        </is>
      </c>
      <c r="D312" s="2">
        <v>239450.0</v>
      </c>
      <c r="E312" s="2">
        <v>239450.0</v>
      </c>
      <c r="F312" s="2">
        <v>0.0</v>
      </c>
      <c r="G312" s="2">
        <v>100.0</v>
      </c>
      <c r="H312" s="2">
        <v>2</v>
      </c>
      <c r="I312" t="inlineStr" s="0">
        <is>
          <t>Ak 10360: OLKA-toimintamallin mukaiseen vapaaehtoistoiminnan koordinointiin, kehittämiseen sekä julkisen terveydenhuollon ja järjestöjen yhteistyön edistämiseen Etelä-Savon hyvinvointialueella (OLKA-toiminta Etelä-Savo) (125 000 €) | Ak 1: Järjestön ja sen jäsenyhdistysten yhteistyön, toimintaedellytysten ja vaikuttamismahdollisuuksien tukemiseen sekä järjestötalon toimintaan Etelä-Savossa (114 450 €)</t>
        </is>
      </c>
    </row>
    <row r="313">
      <c r="A313" s="2">
        <v>312</v>
      </c>
      <c r="B313" s="2">
        <v>453</v>
      </c>
      <c r="C313" t="inlineStr" s="0">
        <is>
          <t>LapCI - Sisäkorvaistutelasten valtakunnallinen yhdistys ry</t>
        </is>
      </c>
      <c r="D313" s="2">
        <v>238814.0</v>
      </c>
      <c r="E313" s="2">
        <v>238814.0</v>
      </c>
      <c r="F313" s="2">
        <v>0.0</v>
      </c>
      <c r="G313" s="2">
        <v>100.0</v>
      </c>
      <c r="H313" s="2">
        <v>2</v>
      </c>
      <c r="I313" t="inlineStr" s="0">
        <is>
          <t>Ak 5: Sisäkorvaistutteen saaneiden lasten ja nuorten sekä heidän perheidensä toimintakyvyn ja identiteetin vahvistumiseen ja hyvinvoinnin lisäämiseen vertaistuen, tapahtumien, oikeuksienvalvonnan, tiedontuotannon ja viestinnän avulla (131 314 €) | Ak 11168: Kuulovammaisten lasten kielen ja kuulon kehittymisen tukemiseen ja lapsen ja vanhemman vuorovaikutuksen  edistämiseen puhe-, kuulo- ja etämuskaritoiminnan, tapahtumien ja koulutusten keinoin (107 500 €)</t>
        </is>
      </c>
    </row>
    <row r="314">
      <c r="A314" s="2">
        <v>313</v>
      </c>
      <c r="B314" s="2">
        <v>476</v>
      </c>
      <c r="C314" t="inlineStr" s="0">
        <is>
          <t>Tuki- ja liikuntaelinliitto Tule ry, Stöd- och rörelseorganförbundet i Finland rf</t>
        </is>
      </c>
      <c r="D314" s="2">
        <v>237937.0</v>
      </c>
      <c r="E314" s="2">
        <v>237937.0</v>
      </c>
      <c r="F314" s="2">
        <v>0.0</v>
      </c>
      <c r="G314" s="2">
        <v>100.0</v>
      </c>
      <c r="H314" s="2">
        <v>1</v>
      </c>
      <c r="I314" t="inlineStr" s="0">
        <is>
          <t>Ak 1953: Tuki- ja liikuntaelinterveyttä kaikille - tietoa ja keinoja tuki- ja liikuntaelinterveyden edistämiseen väestölle, vaikuttajille ja terveysalan ammattilaisille (237 937 €)</t>
        </is>
      </c>
    </row>
    <row r="315">
      <c r="A315" s="2">
        <v>314</v>
      </c>
      <c r="B315" s="2">
        <v>495</v>
      </c>
      <c r="C315" t="inlineStr" s="0">
        <is>
          <t>SUOMEN POLIOLIITTO RY</t>
        </is>
      </c>
      <c r="D315" s="2">
        <v>234000.0</v>
      </c>
      <c r="E315" s="2">
        <v>99000.0</v>
      </c>
      <c r="F315" s="2">
        <v>135000.0</v>
      </c>
      <c r="G315" s="2">
        <v>42.3</v>
      </c>
      <c r="H315" s="2">
        <v>2</v>
      </c>
      <c r="I315" t="inlineStr" s="0">
        <is>
          <t>Ay 1: Yleisavustuksena avustuksen saajan yleishyödylliseen toimintaan (135 000 €) | Ak 2: Poliovammaisten toimintakyvyn ylläpitoon ja voimavarojen vahvistamiseen järjestölähtöisellä ja vertaistuellisella ryhmätoiminnalla - alueellisiin avo- ja laitoskursseihin - verkossa tapahtuvaan ryhmätoimintaan (99 000 €)</t>
        </is>
      </c>
    </row>
    <row r="316">
      <c r="A316" s="2">
        <v>315</v>
      </c>
      <c r="B316" s="2">
        <v>1134</v>
      </c>
      <c r="C316" t="inlineStr" s="0">
        <is>
          <t>Hope - Yhdessä &amp; Yhteisesti ry</t>
        </is>
      </c>
      <c r="D316" s="2">
        <v>233198.0</v>
      </c>
      <c r="E316" s="2">
        <v>233198.0</v>
      </c>
      <c r="F316" s="2">
        <v>0.0</v>
      </c>
      <c r="G316" s="2">
        <v>100.0</v>
      </c>
      <c r="H316" s="2">
        <v>1</v>
      </c>
      <c r="I316" t="inlineStr" s="0">
        <is>
          <t>Ak 1: Vähävaraisten lapsiperheiden auttamiseen valtakunnallisella matalan kynnyksen avustustoiminnalla (233 198 €)</t>
        </is>
      </c>
    </row>
    <row r="317">
      <c r="A317" s="2">
        <v>316</v>
      </c>
      <c r="B317" s="2">
        <v>130</v>
      </c>
      <c r="C317" t="inlineStr" s="0">
        <is>
          <t>ERITYISKANSANOPISTON KANNATUSYHDISTYS RY</t>
        </is>
      </c>
      <c r="D317" s="2">
        <v>232295.0</v>
      </c>
      <c r="E317" s="2">
        <v>232295.0</v>
      </c>
      <c r="F317" s="2">
        <v>0.0</v>
      </c>
      <c r="G317" s="2">
        <v>100.0</v>
      </c>
      <c r="H317" s="2">
        <v>1</v>
      </c>
      <c r="I317" t="inlineStr" s="0">
        <is>
          <t>Ak 2: Lehtimäen opiston vaikeavammaisten opiskelijoiden toimintakyvyn ja hyvinvoinnin tukemiseen harrastustoiminnan avulla (2026) (232 295 €)</t>
        </is>
      </c>
    </row>
    <row r="318">
      <c r="A318" s="2">
        <v>317</v>
      </c>
      <c r="B318" s="2">
        <v>329</v>
      </c>
      <c r="C318" t="inlineStr" s="0">
        <is>
          <t>Suomen Romanifoorumi (Fintiko Romano Forum) ry</t>
        </is>
      </c>
      <c r="D318" s="2">
        <v>230540.0</v>
      </c>
      <c r="E318" s="2">
        <v>169077.0</v>
      </c>
      <c r="F318" s="2">
        <v>61463.0</v>
      </c>
      <c r="G318" s="2">
        <v>73.3</v>
      </c>
      <c r="H318" s="2">
        <v>4</v>
      </c>
      <c r="I318" t="inlineStr" s="0">
        <is>
          <t>Ak 1: Romanijärjestöjen toimintaedellytysten vahvistamiseen sekä romaniväestön osallisuuden ja koulutus- ja työllisyystilanteen edistämiseen koulutusten, neuvonnan, tiedottamisen, matalan kynnyksen toiminnan sekä vertais- ja vaikuttamistoiminnan avulla. (148 077 €) | C 13759: Euroopan sosiaalirahasto plussan (ESR+) hankkeen "Mahdollisuus osallisuuteen Pohjois-Savossa" osarahoitukseen järjestölle (2026-2027) (49 638 €) | Ak 6079: Jäsenjärjestöille kohdistettaviin avustuksiin (21 000 €) | C 13760: Euroopan sosiaalirahasto plussan (ESR+) hankkeen "Mahdollisuus osallisuuteen" osarahoitukseen järjestölle (2026) (11 825 €)</t>
        </is>
      </c>
    </row>
    <row r="319">
      <c r="A319" s="2">
        <v>318</v>
      </c>
      <c r="B319" s="2">
        <v>117</v>
      </c>
      <c r="C319" t="inlineStr" s="0">
        <is>
          <t>Nuorten Palvelu ry</t>
        </is>
      </c>
      <c r="D319" s="2">
        <v>230017.0</v>
      </c>
      <c r="E319" s="2">
        <v>153761.0</v>
      </c>
      <c r="F319" s="2">
        <v>76256.0</v>
      </c>
      <c r="G319" s="2">
        <v>66.8</v>
      </c>
      <c r="H319" s="2">
        <v>2</v>
      </c>
      <c r="I319" t="inlineStr" s="0">
        <is>
          <t>Ak 1968: Erityistä tukea tarvitsevien nuorten auttamiseen kasvokkain ja internetissä sekä nuorten kanssa toimivien vapaaehtoisten koulutukseen ja tukemiseen  (Zemppari- ja Vertzi-toiminta) (153 761 €) | Ay 2: Yleisavustuksena avustuksen saajan yleishyödylliseen toimintaan (76 256 €)</t>
        </is>
      </c>
    </row>
    <row r="320">
      <c r="A320" s="2">
        <v>319</v>
      </c>
      <c r="B320" s="2">
        <v>92</v>
      </c>
      <c r="C320" t="inlineStr" s="0">
        <is>
          <t>TURUN SEUDUN SELKÄYHDISTYS RY</t>
        </is>
      </c>
      <c r="D320" s="2">
        <v>230000.0</v>
      </c>
      <c r="E320" s="2">
        <v>230000.0</v>
      </c>
      <c r="F320" s="2">
        <v>0.0</v>
      </c>
      <c r="G320" s="2">
        <v>100.0</v>
      </c>
      <c r="H320" s="2">
        <v>1</v>
      </c>
      <c r="I320" t="inlineStr" s="0">
        <is>
          <t>Ak 2320: Turkulaisten ja lähialueiden työikäisten ja kolmanteen ikään kuuluvien tuki- ja liikuntaelimistön terveydenedistämistyöhön, maksuttomaan ohjaukseen ja neuvontaan sekä tapahtumien toteuttamiseen (230 000 €)</t>
        </is>
      </c>
    </row>
    <row r="321">
      <c r="A321" s="2">
        <v>320</v>
      </c>
      <c r="B321" s="2">
        <v>943</v>
      </c>
      <c r="C321" t="inlineStr" s="0">
        <is>
          <t>Sotek-säätiö sr</t>
        </is>
      </c>
      <c r="D321" s="2">
        <v>229560.0</v>
      </c>
      <c r="E321" s="2">
        <v>229560.0</v>
      </c>
      <c r="F321" s="2">
        <v>0.0</v>
      </c>
      <c r="G321" s="2">
        <v>100.0</v>
      </c>
      <c r="H321" s="2">
        <v>2</v>
      </c>
      <c r="I321" t="inlineStr" s="0">
        <is>
          <t>Ak 9661: Yli 60-vuotiaiden digitaalisten taitojen vahvistamiseen ja syrjäytymisen ehkäisemiseen matalan kynnyksen kurssitoiminnalla Kymenlaaksossa (150 696 €) | Ak 2402: Alle 30-vuotiaiden nuorten ja nuorten aikuisten sosiaalisen jännittämisen lievittämiseen, psyykkisen ja sosiaalisen toimintakyvyn edistämiseen sekä työelämäosallisuuden  vahvistamiseen ohjauksella ja ryhmätoiminnoilla Kotkassa ja Haminassa (Avittaja) (78 864 €)</t>
        </is>
      </c>
    </row>
    <row r="322">
      <c r="A322" s="2">
        <v>321</v>
      </c>
      <c r="B322" s="2">
        <v>1212</v>
      </c>
      <c r="C322" t="inlineStr" s="0">
        <is>
          <t>Phoenix ry</t>
        </is>
      </c>
      <c r="D322" s="2">
        <v>229374.0</v>
      </c>
      <c r="E322" s="2">
        <v>186000.0</v>
      </c>
      <c r="F322" s="2">
        <v>43374.0</v>
      </c>
      <c r="G322" s="2">
        <v>81.1</v>
      </c>
      <c r="H322" s="2">
        <v>2</v>
      </c>
      <c r="I322" t="inlineStr" s="0">
        <is>
          <t>Ak 9811: Turvapaikanhakijoiden, pakolaisten ja globaalista etelästä muuttaneiden työelämäosallisuuden ja hyvinvoinnin vahvistamiseen yksilöllisen tuen, vertaistoiminnan ja osaamiskartoitusten sekä työelämäyhteistyön ja vaikuttamistoiminnan avulla. Avustuksella ylläpidetään ja kehitetään myös sähköistä alustaa (186 000 €) | C 13735: Euroopan sosiaalirahasto plussan (ESR+) hankkeen "Unelmista urapoluille" osarahoitukseen järjestölle (2026-2028) (43 374 €)</t>
        </is>
      </c>
    </row>
    <row r="323">
      <c r="A323" s="2">
        <v>322</v>
      </c>
      <c r="B323" s="2">
        <v>247</v>
      </c>
      <c r="C323" t="inlineStr" s="0">
        <is>
          <t>KAAPATUT LAPSET RY</t>
        </is>
      </c>
      <c r="D323" s="2">
        <v>228480.0</v>
      </c>
      <c r="E323" s="2">
        <v>228480.0</v>
      </c>
      <c r="F323" s="2">
        <v>0.0</v>
      </c>
      <c r="G323" s="2">
        <v>100.0</v>
      </c>
      <c r="H323" s="2">
        <v>1</v>
      </c>
      <c r="I323" t="inlineStr" s="0">
        <is>
          <t>Ak 1: Lapsikaappauksen kokeneiden, sen uhan alla tai keskellä vaikeaa kansainvälistä huolto- tai tapaamiskiistaa elävien perheiden auttamiseen ohjauksen, neuvonnan, vertaistuki- ja vapaaehtoistoiminnan keinoin sekä lapsikaappausilmiöstä tiedottamiseen ja kouluttamiseen (Toivon Talo) (228 480 €)</t>
        </is>
      </c>
    </row>
    <row r="324">
      <c r="A324" s="2">
        <v>323</v>
      </c>
      <c r="B324" s="2">
        <v>463</v>
      </c>
      <c r="C324" t="inlineStr" s="0">
        <is>
          <t>SURUNAUHA RY</t>
        </is>
      </c>
      <c r="D324" s="2">
        <v>227115.0</v>
      </c>
      <c r="E324" s="2">
        <v>227115.0</v>
      </c>
      <c r="F324" s="2">
        <v>0.0</v>
      </c>
      <c r="G324" s="2">
        <v>100.0</v>
      </c>
      <c r="H324" s="2">
        <v>1</v>
      </c>
      <c r="I324" t="inlineStr" s="0">
        <is>
          <t>Ak 5: Itsemurhan tehneiden henkilöiden läheisten tukemiseen ja yksinäisyyden ehkäisemiseen vertaistukitoiminnan, tapahtumien ja viestinnän keinoin (227 115 €)</t>
        </is>
      </c>
    </row>
    <row r="325">
      <c r="A325" s="2">
        <v>324</v>
      </c>
      <c r="B325" s="2">
        <v>964</v>
      </c>
      <c r="C325" t="inlineStr" s="0">
        <is>
          <t>LOUNAIS-SUOMEN LIHASTAUTIYHDISTYS RY</t>
        </is>
      </c>
      <c r="D325" s="2">
        <v>226013.0</v>
      </c>
      <c r="E325" s="2">
        <v>226013.0</v>
      </c>
      <c r="F325" s="2">
        <v>0.0</v>
      </c>
      <c r="G325" s="2">
        <v>100.0</v>
      </c>
      <c r="H325" s="2">
        <v>1</v>
      </c>
      <c r="I325" t="inlineStr" s="0">
        <is>
          <t>Ak 1: Vapaaehtoistoimijoiden koordinoimiseen liikunta-, näkö- ja kehitysvammaisille sekä muistiasiakkaille Varsinais-Suomen ja Satakunnan alueella. Vapaaehtoistoiminnan ylläpitämiseen ja kehittämiseen koulutusten, vertaistuen ja tiedotuksen kautta. (226 013 €)</t>
        </is>
      </c>
    </row>
    <row r="326">
      <c r="A326" s="2">
        <v>325</v>
      </c>
      <c r="B326" s="2">
        <v>1073</v>
      </c>
      <c r="C326" t="inlineStr" s="0">
        <is>
          <t>OULUN ELÄKKEENSAAJAT RY</t>
        </is>
      </c>
      <c r="D326" s="2">
        <v>226013.0</v>
      </c>
      <c r="E326" s="2">
        <v>226013.0</v>
      </c>
      <c r="F326" s="2">
        <v>0.0</v>
      </c>
      <c r="G326" s="2">
        <v>100.0</v>
      </c>
      <c r="H326" s="2">
        <v>1</v>
      </c>
      <c r="I326" t="inlineStr" s="0">
        <is>
          <t>Ak 4067: Ikääntyneiden yksinäisyyden kokemusten vähentämiseen sekä osallisuuden lisäämiseen kohtaamispaikkatoiminnan ja vertaistuen avulla Oulussa (Ikäihmisten olohuone -toiminta) (226 013 €)</t>
        </is>
      </c>
    </row>
    <row r="327">
      <c r="A327" s="2">
        <v>326</v>
      </c>
      <c r="B327" s="2">
        <v>59</v>
      </c>
      <c r="C327" t="inlineStr" s="0">
        <is>
          <t>Mello ry, Mello rf</t>
        </is>
      </c>
      <c r="D327" s="2">
        <v>225591.0</v>
      </c>
      <c r="E327" s="2">
        <v>225591.0</v>
      </c>
      <c r="F327" s="2">
        <v>0.0</v>
      </c>
      <c r="G327" s="2">
        <v>100.0</v>
      </c>
      <c r="H327" s="2">
        <v>1</v>
      </c>
      <c r="I327" t="inlineStr" s="0">
        <is>
          <t>Ak 7: Mielenterveyskuntoutujien elämänhallinnan ja hyvinvoinnin vahvistamiseen matalan kynnyksen kohtaamispaikan ja vertaisryhmätoiminnan avulla Kokkolassa (Kulmis ja Nuorten Kulmis) (225 591 €)</t>
        </is>
      </c>
    </row>
    <row r="328">
      <c r="A328" s="2">
        <v>327</v>
      </c>
      <c r="B328" s="2">
        <v>721</v>
      </c>
      <c r="C328" t="inlineStr" s="0">
        <is>
          <t>ETELÄN-SYLI RY</t>
        </is>
      </c>
      <c r="D328" s="2">
        <v>225000.0</v>
      </c>
      <c r="E328" s="2">
        <v>225000.0</v>
      </c>
      <c r="F328" s="2">
        <v>0.0</v>
      </c>
      <c r="G328" s="2">
        <v>100.0</v>
      </c>
      <c r="H328" s="2">
        <v>1</v>
      </c>
      <c r="I328" t="inlineStr" s="0">
        <is>
          <t>Ak 1: Syömishäiriötä sairastavien ja heidän läheistensä hyvinvoinnin parantamiseen ryhmä- ja yksilötoiminnalla, vertaistuella, vapaaehtoistyöllä, koulutuksella ja viestinnällä (225 000 €)</t>
        </is>
      </c>
    </row>
    <row r="329">
      <c r="A329" s="2">
        <v>328</v>
      </c>
      <c r="B329" s="2">
        <v>260</v>
      </c>
      <c r="C329" t="inlineStr" s="0">
        <is>
          <t>Koulutus Elämään Säätiö sr, Lära för Livet Stiftelse sr</t>
        </is>
      </c>
      <c r="D329" s="2">
        <v>222347.0</v>
      </c>
      <c r="E329" s="2">
        <v>222347.0</v>
      </c>
      <c r="F329" s="2">
        <v>0.0</v>
      </c>
      <c r="G329" s="2">
        <v>100.0</v>
      </c>
      <c r="H329" s="2">
        <v>1</v>
      </c>
      <c r="I329" t="inlineStr" s="0">
        <is>
          <t>Ak 1: 3-13 -vuotiaiden lasten terveiden elämäntapojen edistämiseen ja päihteidenkäytön kokeilu- ja aloitusiän siirtämiseen eteenpäin itsetuntoa vahvistavan terveyskasvatusohjelman keinoin (222 347 €)</t>
        </is>
      </c>
    </row>
    <row r="330">
      <c r="A330" s="2">
        <v>329</v>
      </c>
      <c r="B330" s="2">
        <v>1080</v>
      </c>
      <c r="C330" t="inlineStr" s="0">
        <is>
          <t>MIELI Länsirannikon mielenterveys ry</t>
        </is>
      </c>
      <c r="D330" s="2">
        <v>222224.0</v>
      </c>
      <c r="E330" s="2">
        <v>222224.0</v>
      </c>
      <c r="F330" s="2">
        <v>0.0</v>
      </c>
      <c r="G330" s="2">
        <v>100.0</v>
      </c>
      <c r="H330" s="2">
        <v>1</v>
      </c>
      <c r="I330" t="inlineStr" s="0">
        <is>
          <t>Ak 1: Vaikeissa elämäntilanteissa oleville henkilöille tarkoitettuun järjestölähtöiseen kriisi- ja mielenterveystyöhön yksilö- ja ryhmämuotoisen auttamisen sekä vapaaehtoistoiminnan keinoin (Rauman kriisikeskus Ankkurpaikk') (222 224 €)</t>
        </is>
      </c>
    </row>
    <row r="331">
      <c r="A331" s="2">
        <v>330</v>
      </c>
      <c r="B331" s="2">
        <v>1942</v>
      </c>
      <c r="C331" t="inlineStr" s="0">
        <is>
          <t>Toimiva ry</t>
        </is>
      </c>
      <c r="D331" s="2">
        <v>220000.0</v>
      </c>
      <c r="E331" s="2">
        <v>220000.0</v>
      </c>
      <c r="F331" s="2">
        <v>0.0</v>
      </c>
      <c r="G331" s="2">
        <v>100.0</v>
      </c>
      <c r="H331" s="2">
        <v>1</v>
      </c>
      <c r="I331" t="inlineStr" s="0">
        <is>
          <t>Ak 12507: Hallitsemattomasta syömisestä ja ruokariippuvuudesta kärsivien henkilöiden tukemiseen verkkopohjaisen ryhmätoiminnan avulla sekä tiedon lisäämiseen ruokariippuvuudesta verkostotyön ja tiedotuksen avulla (220 000 €)</t>
        </is>
      </c>
    </row>
    <row r="332">
      <c r="A332" s="2">
        <v>331</v>
      </c>
      <c r="B332" s="2">
        <v>253</v>
      </c>
      <c r="C332" t="inlineStr" s="0">
        <is>
          <t>SUOMEN SYÖPÄPOTILAAT RY</t>
        </is>
      </c>
      <c r="D332" s="2">
        <v>219300.0</v>
      </c>
      <c r="E332" s="2">
        <v>0.0</v>
      </c>
      <c r="F332" s="2">
        <v>219300.0</v>
      </c>
      <c r="G332" s="2">
        <v>0.0</v>
      </c>
      <c r="H332" s="2">
        <v>1</v>
      </c>
      <c r="I332" t="inlineStr" s="0">
        <is>
          <t>Ay 1: Yleisavustuksena avustuksen saajan yleishyödylliseen toimintaan (219 300 €)</t>
        </is>
      </c>
    </row>
    <row r="333">
      <c r="A333" s="2">
        <v>332</v>
      </c>
      <c r="B333" s="2">
        <v>1135</v>
      </c>
      <c r="C333" t="inlineStr" s="0">
        <is>
          <t>LAPSETTOMIEN YHDISTYS SIMPUKKA RY</t>
        </is>
      </c>
      <c r="D333" s="2">
        <v>216960.0</v>
      </c>
      <c r="E333" s="2">
        <v>0.0</v>
      </c>
      <c r="F333" s="2">
        <v>216960.0</v>
      </c>
      <c r="G333" s="2">
        <v>0.0</v>
      </c>
      <c r="H333" s="2">
        <v>1</v>
      </c>
      <c r="I333" t="inlineStr" s="0">
        <is>
          <t>Ay 2: Yleisavustuksena avustuksen saajan yleishyödylliseen toimintaan (216 960 €)</t>
        </is>
      </c>
    </row>
    <row r="334">
      <c r="A334" s="2">
        <v>333</v>
      </c>
      <c r="B334" s="2">
        <v>848</v>
      </c>
      <c r="C334" t="inlineStr" s="0">
        <is>
          <t>Lasten ja nuorten säätiö - Barn och ungdomsstiftelsen sr</t>
        </is>
      </c>
      <c r="D334" s="2">
        <v>216336.0</v>
      </c>
      <c r="E334" s="2">
        <v>216336.0</v>
      </c>
      <c r="F334" s="2">
        <v>0.0</v>
      </c>
      <c r="G334" s="2">
        <v>100.0</v>
      </c>
      <c r="H334" s="2">
        <v>1</v>
      </c>
      <c r="I334" t="inlineStr" s="0">
        <is>
          <t>Ak 6359: TUVA-koulutuksessa olevien nuorten sekä ilman työtä ja opiskelupaikkaa olevien nuorten hyvinvoinnin tukeen, sosiaaliseen vahvistamiseen ja itsetuntemuksen parantamiseen (216 336 €)</t>
        </is>
      </c>
    </row>
    <row r="335">
      <c r="A335" s="2">
        <v>334</v>
      </c>
      <c r="B335" s="2">
        <v>740</v>
      </c>
      <c r="C335" t="inlineStr" s="0">
        <is>
          <t>Hyvät Tuulet Ry</t>
        </is>
      </c>
      <c r="D335" s="2">
        <v>215250.0</v>
      </c>
      <c r="E335" s="2">
        <v>215250.0</v>
      </c>
      <c r="F335" s="2">
        <v>0.0</v>
      </c>
      <c r="G335" s="2">
        <v>100.0</v>
      </c>
      <c r="H335" s="2">
        <v>1</v>
      </c>
      <c r="I335" t="inlineStr" s="0">
        <is>
          <t>Ak 3: Mielenterveyskuntoutujien aktivoimiseen matalan kynnyksen kohtaamispaikkojen sekä vapaaehtois- ja vertaistoiminnan avulla Vantaalla (Lauhatuuli ja Myöhätuuli) (215 250 €)</t>
        </is>
      </c>
    </row>
    <row r="336">
      <c r="A336" s="2">
        <v>335</v>
      </c>
      <c r="B336" s="2">
        <v>948</v>
      </c>
      <c r="C336" t="inlineStr" s="0">
        <is>
          <t>Päijät-Hämeen Mielenterveystyön Tuki MIETE ry</t>
        </is>
      </c>
      <c r="D336" s="2">
        <v>215250.0</v>
      </c>
      <c r="E336" s="2">
        <v>215250.0</v>
      </c>
      <c r="F336" s="2">
        <v>0.0</v>
      </c>
      <c r="G336" s="2">
        <v>100.0</v>
      </c>
      <c r="H336" s="2">
        <v>1</v>
      </c>
      <c r="I336" t="inlineStr" s="0">
        <is>
          <t>Ak 2: Mielenterveyskuntoutujien aktiivisuuden ja osallisuuden lisäämiseen matalan kynnyksen kohtaamispaikkatoiminnan, vertaistoiminnan, palveluohjauksen ja verkkovälitteisen toiminnan avulla Lahden seudulla (215 250 €)</t>
        </is>
      </c>
    </row>
    <row r="337">
      <c r="A337" s="2">
        <v>336</v>
      </c>
      <c r="B337" s="2">
        <v>580</v>
      </c>
      <c r="C337" t="inlineStr" s="0">
        <is>
          <t>KESKI-UUDENMAAN YHDISTYSVERKOSTO RY</t>
        </is>
      </c>
      <c r="D337" s="2">
        <v>214987.0</v>
      </c>
      <c r="E337" s="2">
        <v>214987.0</v>
      </c>
      <c r="F337" s="2">
        <v>0.0</v>
      </c>
      <c r="G337" s="2">
        <v>100.0</v>
      </c>
      <c r="H337" s="2">
        <v>1</v>
      </c>
      <c r="I337" t="inlineStr" s="0">
        <is>
          <t>Ak 1: Keski-Uudenmaan alueen sosiaali- ja terveysjärjestöverkoston toimintaan ja sen kehittämiseen, vapaaehtois- ja vertaistuen mahdollistamiseen sekä OLKA- toimintamallin mukaiseen toimintaan Keski-Uudellamaalla sekä Vantaan ja Keravan hyvinvointialueella. (214 987 €)</t>
        </is>
      </c>
    </row>
    <row r="338">
      <c r="A338" s="2">
        <v>337</v>
      </c>
      <c r="B338" s="2">
        <v>855</v>
      </c>
      <c r="C338" t="inlineStr" s="0">
        <is>
          <t>SUOMEN UUSPERHEIDEN LIITTO RY</t>
        </is>
      </c>
      <c r="D338" s="2">
        <v>214394.0</v>
      </c>
      <c r="E338" s="2">
        <v>0.0</v>
      </c>
      <c r="F338" s="2">
        <v>214394.0</v>
      </c>
      <c r="G338" s="2">
        <v>0.0</v>
      </c>
      <c r="H338" s="2">
        <v>1</v>
      </c>
      <c r="I338" t="inlineStr" s="0">
        <is>
          <t>Ay 1: Yleisavustuksena avustuksen saajan yleishyödylliseen toimintaan (214 394 €)</t>
        </is>
      </c>
    </row>
    <row r="339">
      <c r="A339" s="2">
        <v>338</v>
      </c>
      <c r="B339" s="2">
        <v>174</v>
      </c>
      <c r="C339" t="inlineStr" s="0">
        <is>
          <t>Turvapaikanhakijoiden tuki ry</t>
        </is>
      </c>
      <c r="D339" s="2">
        <v>213750.0</v>
      </c>
      <c r="E339" s="2">
        <v>213750.0</v>
      </c>
      <c r="F339" s="2">
        <v>0.0</v>
      </c>
      <c r="G339" s="2">
        <v>100.0</v>
      </c>
      <c r="H339" s="2">
        <v>1</v>
      </c>
      <c r="I339" t="inlineStr" s="0">
        <is>
          <t>Ak 11287: Turvapaikanhakijoiden, paperittomien ja muiden haavoittuvassa asemassa olevien maahan muuttaneiden mielen hyvinvoinnin, toimijuuden ja yhteiskuntaan kiinnittymisen vahvistamiseen yksilöllisen tuen, neuvonnan ja palveluohjauksen avulla (213 750 €)</t>
        </is>
      </c>
    </row>
    <row r="340">
      <c r="A340" s="2">
        <v>339</v>
      </c>
      <c r="B340" s="2">
        <v>397</v>
      </c>
      <c r="C340" t="inlineStr" s="0">
        <is>
          <t>DAISYLADIES RY</t>
        </is>
      </c>
      <c r="D340" s="2">
        <v>212800.0</v>
      </c>
      <c r="E340" s="2">
        <v>212800.0</v>
      </c>
      <c r="F340" s="2">
        <v>0.0</v>
      </c>
      <c r="G340" s="2">
        <v>100.0</v>
      </c>
      <c r="H340" s="2">
        <v>1</v>
      </c>
      <c r="I340" t="inlineStr" s="0">
        <is>
          <t>Ak 3: Työikäisten ja ikääntyneiden maahanmuuttajataustaisten naisten syrjäytymisen ehkäisemiseen ja kaksisuuntaisen kotoutumisen vahvistamiseen yksilöohjauksen, koulutuksen, vertaistuen sekä vapaaehtois- ja ryhmätoiminnan avulla Turussa ja sen lähialueilla (212 800 €)</t>
        </is>
      </c>
    </row>
    <row r="341">
      <c r="A341" s="2">
        <v>340</v>
      </c>
      <c r="B341" s="2">
        <v>535</v>
      </c>
      <c r="C341" t="inlineStr" s="0">
        <is>
          <t>SYDÄNLAPSET JA -AIKUISET RY</t>
        </is>
      </c>
      <c r="D341" s="2">
        <v>212500.0</v>
      </c>
      <c r="E341" s="2">
        <v>44500.0</v>
      </c>
      <c r="F341" s="2">
        <v>168000.0</v>
      </c>
      <c r="G341" s="2">
        <v>20.9</v>
      </c>
      <c r="H341" s="2">
        <v>2</v>
      </c>
      <c r="I341" t="inlineStr" s="0">
        <is>
          <t>Ay 1: Yleisavustuksena avustuksen saajan yleishyödylliseen toimintaan (168 000 €) | Ak 2: Tiedollisiin vertaiskursseihin ja tapaamisiin synnynnäisesti sydänvikaisille ja heidän läheisilleen (44 500 €)</t>
        </is>
      </c>
    </row>
    <row r="342">
      <c r="A342" s="2">
        <v>341</v>
      </c>
      <c r="B342" s="2">
        <v>118</v>
      </c>
      <c r="C342" t="inlineStr" s="0">
        <is>
          <t>KULUTTAJALIITTO - KONSUMENTFÖRBUNDET RY</t>
        </is>
      </c>
      <c r="D342" s="2">
        <v>212293.0</v>
      </c>
      <c r="E342" s="2">
        <v>212293.0</v>
      </c>
      <c r="F342" s="2">
        <v>0.0</v>
      </c>
      <c r="G342" s="2">
        <v>100.0</v>
      </c>
      <c r="H342" s="2">
        <v>3</v>
      </c>
      <c r="I342" t="inlineStr" s="0">
        <is>
          <t>Ak 7136: Sosiaali- ja terveyspalveluiden potilaiden ja asiakkaiden oikeuksien edistämiseen  tiedottamisen, maksuttoman juridisen neuvonnan sekä koulutusten avulla (97 125 €) | Ak 2: Asumisesta aiheutuvien sosiaalisten, taloudellisten ja oikeudellisten ongelmien ennaltaehkäisyyn ja ratkaisemiseen asumisasiamiehen neuvonta- ja koulutustoiminnalla (73 481 €) | Ak 9427: Jäsenjärjestöille kohdistettaviin avustuksiin (41 687 €)</t>
        </is>
      </c>
    </row>
    <row r="343">
      <c r="A343" s="2">
        <v>342</v>
      </c>
      <c r="B343" s="2">
        <v>225</v>
      </c>
      <c r="C343" t="inlineStr" s="0">
        <is>
          <t>KESÄLUKIOSEURA RY</t>
        </is>
      </c>
      <c r="D343" s="2">
        <v>212000.0</v>
      </c>
      <c r="E343" s="2">
        <v>212000.0</v>
      </c>
      <c r="F343" s="2">
        <v>0.0</v>
      </c>
      <c r="G343" s="2">
        <v>100.0</v>
      </c>
      <c r="H343" s="2">
        <v>1</v>
      </c>
      <c r="I343" t="inlineStr" s="0">
        <is>
          <t>Ak 1: Pakolaistaustaisten lasten ja nuorten tukemiseen leiritoiminnalla (212 000 €)</t>
        </is>
      </c>
    </row>
    <row r="344">
      <c r="A344" s="2">
        <v>343</v>
      </c>
      <c r="B344" s="2">
        <v>353</v>
      </c>
      <c r="C344" t="inlineStr" s="0">
        <is>
          <t>Hyvinkään Yhdistykset ry</t>
        </is>
      </c>
      <c r="D344" s="2">
        <v>210756.0</v>
      </c>
      <c r="E344" s="2">
        <v>210756.0</v>
      </c>
      <c r="F344" s="2">
        <v>0.0</v>
      </c>
      <c r="G344" s="2">
        <v>100.0</v>
      </c>
      <c r="H344" s="2">
        <v>1</v>
      </c>
      <c r="I344" t="inlineStr" s="0">
        <is>
          <t>Ak 1: Sosiaali- ja terveysjärjestöjen toimintakeskuksen toimintaan, yhdistystoiminnan ja vapaaehtoistyön tukemiseen ja matalan kynnyksen kohtaamispaikan toimintaan Hyvinkäällä (210 756 €)</t>
        </is>
      </c>
    </row>
    <row r="345">
      <c r="A345" s="2">
        <v>344</v>
      </c>
      <c r="B345" s="2">
        <v>308</v>
      </c>
      <c r="C345" t="inlineStr" s="0">
        <is>
          <t>Helsinki Pride -yhteisö ry</t>
        </is>
      </c>
      <c r="D345" s="2">
        <v>210500.0</v>
      </c>
      <c r="E345" s="2">
        <v>210500.0</v>
      </c>
      <c r="F345" s="2">
        <v>0.0</v>
      </c>
      <c r="G345" s="2">
        <v>100.0</v>
      </c>
      <c r="H345" s="2">
        <v>1</v>
      </c>
      <c r="I345" t="inlineStr" s="0">
        <is>
          <t>Ak 3257: Erityisen haavoittuvassa asemassa olevien seksuaali- ja sukupuolivähemmistöihin kuuluvien ihmisten osallisuuden lisäämiseen sekä yksinäisyyden ja syrjäytymisen ennaltaehkäisyyn yksilöllisen tuen, vertaisryhmien, yhteisöllisen toiminnan sekä vaikuttamistoiminnan ja koulutusten avulla (210 500 €)</t>
        </is>
      </c>
    </row>
    <row r="346">
      <c r="A346" s="2">
        <v>345</v>
      </c>
      <c r="B346" s="2">
        <v>744</v>
      </c>
      <c r="C346" t="inlineStr" s="0">
        <is>
          <t>FinFami Etelä-Pohjanmaa ry</t>
        </is>
      </c>
      <c r="D346" s="2">
        <v>210000.0</v>
      </c>
      <c r="E346" s="2">
        <v>210000.0</v>
      </c>
      <c r="F346" s="2">
        <v>0.0</v>
      </c>
      <c r="G346" s="2">
        <v>100.0</v>
      </c>
      <c r="H346" s="2">
        <v>1</v>
      </c>
      <c r="I346" t="inlineStr" s="0">
        <is>
          <t>Ak 2: Mielenterveysomaisten hyvinvoinnin, osallisuuden ja toimijuuden vahvistaminen henkilökohtaisen neuvonnan ja ryhmämuotoisen tuen sekä vertais-, vapaaehtois- ja vaikuttamistoiminnan avulla Etelä-Pohjanmaalla (210 000 €)</t>
        </is>
      </c>
    </row>
    <row r="347">
      <c r="A347" s="2">
        <v>346</v>
      </c>
      <c r="B347" s="2">
        <v>70</v>
      </c>
      <c r="C347" t="inlineStr" s="0">
        <is>
          <t>SUOMEN DELFINS RY</t>
        </is>
      </c>
      <c r="D347" s="2">
        <v>210000.0</v>
      </c>
      <c r="E347" s="2">
        <v>210000.0</v>
      </c>
      <c r="F347" s="2">
        <v>0.0</v>
      </c>
      <c r="G347" s="2">
        <v>100.0</v>
      </c>
      <c r="H347" s="2">
        <v>1</v>
      </c>
      <c r="I347" t="inlineStr" s="0">
        <is>
          <t>Ak 10733: Lapsuudessa seksuaaliväkivaltaa kokeneiden yli 18-vuotiaiden tukeen muun muassa puhelin ja chat-neuvonnan, ryhmätoiminnan ja tiedotuksen keinoin. (210 000 €)</t>
        </is>
      </c>
    </row>
    <row r="348">
      <c r="A348" s="2">
        <v>347</v>
      </c>
      <c r="B348" s="2">
        <v>1250</v>
      </c>
      <c r="C348" t="inlineStr" s="0">
        <is>
          <t>MANNERHEIMIN LASTENSUOJELUL. HELSINGIN YHDISTYS RY</t>
        </is>
      </c>
      <c r="D348" s="2">
        <v>209861.0</v>
      </c>
      <c r="E348" s="2">
        <v>209861.0</v>
      </c>
      <c r="F348" s="2">
        <v>0.0</v>
      </c>
      <c r="G348" s="2">
        <v>100.0</v>
      </c>
      <c r="H348" s="2">
        <v>1</v>
      </c>
      <c r="I348" t="inlineStr" s="0">
        <is>
          <t>Ak 9831: Lähisuhdeväkivaltaa tai sen uhkaa kokeville liikkuvaan matalan kynnyksen kriisiapuun arjen turvallisuuden ja tukiverkostojen vahvistamiseksi. (209 861 €)</t>
        </is>
      </c>
    </row>
    <row r="349">
      <c r="A349" s="2">
        <v>348</v>
      </c>
      <c r="B349" s="2">
        <v>334</v>
      </c>
      <c r="C349" t="inlineStr" s="0">
        <is>
          <t>Gynekologinen potilasjärjestö Korento ry</t>
        </is>
      </c>
      <c r="D349" s="2">
        <v>209475.0</v>
      </c>
      <c r="E349" s="2">
        <v>209475.0</v>
      </c>
      <c r="F349" s="2">
        <v>0.0</v>
      </c>
      <c r="G349" s="2">
        <v>100.0</v>
      </c>
      <c r="H349" s="2">
        <v>1</v>
      </c>
      <c r="I349" t="inlineStr" s="0">
        <is>
          <t>Ak 2: Endometrioosia, adenomyoosia, PCOS:ää sekä vulvodyniaa sairastavien naisten hyvinvoinnin lisäämiseen ja edunvalvonnan edistämiseen toteuttamalla vapaaehtois- ja vertaistukitoimintaa sekä kehittämällä vaikuttamistyötä (Yhdessä olemme enemmän) (209 475 €)</t>
        </is>
      </c>
    </row>
    <row r="350">
      <c r="A350" s="2">
        <v>349</v>
      </c>
      <c r="B350" s="2">
        <v>40</v>
      </c>
      <c r="C350" t="inlineStr" s="0">
        <is>
          <t>PÄIJÄT-HÄMEEN OMAISHOITAJAT RY</t>
        </is>
      </c>
      <c r="D350" s="2">
        <v>208097.0</v>
      </c>
      <c r="E350" s="2">
        <v>208097.0</v>
      </c>
      <c r="F350" s="2">
        <v>0.0</v>
      </c>
      <c r="G350" s="2">
        <v>100.0</v>
      </c>
      <c r="H350" s="2">
        <v>1</v>
      </c>
      <c r="I350" t="inlineStr" s="0">
        <is>
          <t>Ak 2: Omaishoitajien toimintakyvyn tukemiseen tiedottamisen, neuvonnan, vertaistoiminnan ja valmennusten avulla Päijät-Hämeessä (OmaisOiva) (208 097 €)</t>
        </is>
      </c>
    </row>
    <row r="351">
      <c r="A351" s="2">
        <v>350</v>
      </c>
      <c r="B351" s="2">
        <v>1109</v>
      </c>
      <c r="C351" t="inlineStr" s="0">
        <is>
          <t>MIKKELIN SEUDUN OMAISHOITAJAT JA LÄHEISET RY</t>
        </is>
      </c>
      <c r="D351" s="2">
        <v>207270.0</v>
      </c>
      <c r="E351" s="2">
        <v>207270.0</v>
      </c>
      <c r="F351" s="2">
        <v>0.0</v>
      </c>
      <c r="G351" s="2">
        <v>100.0</v>
      </c>
      <c r="H351" s="2">
        <v>1</v>
      </c>
      <c r="I351" t="inlineStr" s="0">
        <is>
          <t>Ak 1138: Omaishoitajien toimintakyvyn tukemiseen tiedottamisen, neuvonnan, vertaistoiminnan ja valmennusten avulla Mikkelin seudulla (OmaisOiva) (207 270 €)</t>
        </is>
      </c>
    </row>
    <row r="352">
      <c r="A352" s="2">
        <v>351</v>
      </c>
      <c r="B352" s="2">
        <v>1012</v>
      </c>
      <c r="C352" t="inlineStr" s="0">
        <is>
          <t>Satakunnan Omaishoitajat ry</t>
        </is>
      </c>
      <c r="D352" s="2">
        <v>206850.0</v>
      </c>
      <c r="E352" s="2">
        <v>206850.0</v>
      </c>
      <c r="F352" s="2">
        <v>0.0</v>
      </c>
      <c r="G352" s="2">
        <v>100.0</v>
      </c>
      <c r="H352" s="2">
        <v>1</v>
      </c>
      <c r="I352" t="inlineStr" s="0">
        <is>
          <t>Ak 1: Omaishoitajien toimintakyvyn tukemiseen tiedottamisen, neuvonnan, vertaistoiminnan ja valmennusten avulla Satakunnassa  (OmaisOiva) (206 850 €)</t>
        </is>
      </c>
    </row>
    <row r="353">
      <c r="A353" s="2">
        <v>352</v>
      </c>
      <c r="B353" s="2">
        <v>688</v>
      </c>
      <c r="C353" t="inlineStr" s="0">
        <is>
          <t>SUOMEN MONIKKOPERHEET RY</t>
        </is>
      </c>
      <c r="D353" s="2">
        <v>206823.0</v>
      </c>
      <c r="E353" s="2">
        <v>20500.0</v>
      </c>
      <c r="F353" s="2">
        <v>186323.0</v>
      </c>
      <c r="G353" s="2">
        <v>9.9</v>
      </c>
      <c r="H353" s="2">
        <v>2</v>
      </c>
      <c r="I353" t="inlineStr" s="0">
        <is>
          <t>Ay 1: Yleisavustuksena avustuksen saajan yleishyödylliseen toimintaan (186 323 €) | Ak 2: Jäsenjärjestöille kohdistettaviin avustuksiin (20 500 €)</t>
        </is>
      </c>
    </row>
    <row r="354">
      <c r="A354" s="2">
        <v>353</v>
      </c>
      <c r="B354" s="2">
        <v>123</v>
      </c>
      <c r="C354" t="inlineStr" s="0">
        <is>
          <t>MIELI Etelä-Karjalan mielenterveys ry</t>
        </is>
      </c>
      <c r="D354" s="2">
        <v>205065.0</v>
      </c>
      <c r="E354" s="2">
        <v>205065.0</v>
      </c>
      <c r="F354" s="2">
        <v>0.0</v>
      </c>
      <c r="G354" s="2">
        <v>100.0</v>
      </c>
      <c r="H354" s="2">
        <v>1</v>
      </c>
      <c r="I354" t="inlineStr" s="0">
        <is>
          <t>Ak 2: Vaikeissa elämäntilanteissa oleville henkilöille tarkoitettuun järjestölähtöiseen kriisi- ja mielenterveystyöhön yksilö- ja ryhmämuotoisen auttamisen sekä vapaaehtoistoiminnan keinoin (MIELI Kriisikeskus Etelä-Karjalan, toimipisteet Lappeenranta ja Imatra) (205 065 €)</t>
        </is>
      </c>
    </row>
    <row r="355">
      <c r="A355" s="2">
        <v>354</v>
      </c>
      <c r="B355" s="2">
        <v>589</v>
      </c>
      <c r="C355" t="inlineStr" s="0">
        <is>
          <t>SVK Liitto ry</t>
        </is>
      </c>
      <c r="D355" s="2">
        <v>204400.0</v>
      </c>
      <c r="E355" s="2">
        <v>204400.0</v>
      </c>
      <c r="F355" s="2">
        <v>0.0</v>
      </c>
      <c r="G355" s="2">
        <v>100.0</v>
      </c>
      <c r="H355" s="2">
        <v>2</v>
      </c>
      <c r="I355" t="inlineStr" s="0">
        <is>
          <t>Ak 11887: Suomessa toimivien venäjänkielisten sosiaali- ja terveysjärjestöjen toiminnan, järjestöosaamisen ja verkostoitumisen kehittämiseen ja vahvistamiseen neuvonnan, koulutusten, mentoroinnin sekä keskusjärjestön viestinnän ja vaikuttamistoiminnan avulla (Näkymätön voimavara) (174 400 €) | Ak 11516: Jäsenjärjestöille kohdistettaviin avustuksiin (30 000 €)</t>
        </is>
      </c>
    </row>
    <row r="356">
      <c r="A356" s="2">
        <v>355</v>
      </c>
      <c r="B356" s="2">
        <v>660</v>
      </c>
      <c r="C356" t="inlineStr" s="0">
        <is>
          <t>DATERO RY</t>
        </is>
      </c>
      <c r="D356" s="2">
        <v>204111.0</v>
      </c>
      <c r="E356" s="2">
        <v>204111.0</v>
      </c>
      <c r="F356" s="2">
        <v>0.0</v>
      </c>
      <c r="G356" s="2">
        <v>100.0</v>
      </c>
      <c r="H356" s="2">
        <v>1</v>
      </c>
      <c r="I356" t="inlineStr" s="0">
        <is>
          <t>Ak 1: Oppimisvaikeuksista ja toimintarajoitteista aiheutuvien haittojen vähentämiseen apuvälineiden käytön ohjaamisella, esteettömän ohjemateriaalin tuottamisella sekä tiedottamalla (204 111 €)</t>
        </is>
      </c>
    </row>
    <row r="357">
      <c r="A357" s="2">
        <v>356</v>
      </c>
      <c r="B357" s="2">
        <v>1149</v>
      </c>
      <c r="C357" t="inlineStr" s="0">
        <is>
          <t>Kanta-Hämeen ensi- ja turvakoti ry</t>
        </is>
      </c>
      <c r="D357" s="2">
        <v>203770.0</v>
      </c>
      <c r="E357" s="2">
        <v>203770.0</v>
      </c>
      <c r="F357" s="2">
        <v>0.0</v>
      </c>
      <c r="G357" s="2">
        <v>100.0</v>
      </c>
      <c r="H357" s="2">
        <v>1</v>
      </c>
      <c r="I357" t="inlineStr" s="0">
        <is>
          <t>Ak 1: Yksilö-, pari-  ja ryhmämuotoiseen avokriisityöhön perhe- ja lähisuhdeväkivallan uhrien ja tekijöiden kanssa sekä nuorten kanssa tehtävään väkivaltatyöhön, ennaltaehkäisevään, seurustelusuhteiden turvallisuutta lisäävään työhön ja vapaaehtoistoiminnan kehittämiseen. Lapsiperheitä tukevaan järjestölähtöiseen erotyöhön. (Kriisityön avopalvelut) (203 770 €)</t>
        </is>
      </c>
    </row>
    <row r="358">
      <c r="A358" s="2">
        <v>357</v>
      </c>
      <c r="B358" s="2">
        <v>249</v>
      </c>
      <c r="C358" t="inlineStr" s="0">
        <is>
          <t>MANNERHEIMIN LASTENSUOJELULIITON SATAK. PIIRI RY</t>
        </is>
      </c>
      <c r="D358" s="2">
        <v>203500.0</v>
      </c>
      <c r="E358" s="2">
        <v>203500.0</v>
      </c>
      <c r="F358" s="2">
        <v>0.0</v>
      </c>
      <c r="G358" s="2">
        <v>100.0</v>
      </c>
      <c r="H358" s="2">
        <v>2</v>
      </c>
      <c r="I358" t="inlineStr" s="0">
        <is>
          <t>Ak 6208: Vapaaehtoistoiminnan ammatillinen ohjaus ja koordinointi;  Perhekummi-, kaveri- ja Ystäväksi maahanmuuttajaäidille - toiminnan ja sukupolvitoiminnan toteuttaminen Satakunnan alueella (131 000 €) | Ak 1: 7-14-vuotiaiden lasten ja nuorten osallisuuden ja itseluottamuksen lisäämiseen sekä kuuntelevan ja välittävän aikuisen tuen tarjoamiseen ylläpitämällä kahta kohtaamispaikkaa ja tukiviikonlopputoimintaa Porissa (Tuki- ja turvapaikka Porkkanapesä) (72 500 €)</t>
        </is>
      </c>
    </row>
    <row r="359">
      <c r="A359" s="2">
        <v>358</v>
      </c>
      <c r="B359" s="2">
        <v>847</v>
      </c>
      <c r="C359" t="inlineStr" s="0">
        <is>
          <t>Honkalampi-säätiö sr</t>
        </is>
      </c>
      <c r="D359" s="2">
        <v>203029.0</v>
      </c>
      <c r="E359" s="2">
        <v>203029.0</v>
      </c>
      <c r="F359" s="2">
        <v>0.0</v>
      </c>
      <c r="G359" s="2">
        <v>100.0</v>
      </c>
      <c r="H359" s="2">
        <v>1</v>
      </c>
      <c r="I359" t="inlineStr" s="0">
        <is>
          <t>Ak 14: Neuropsykiatrisia piirteitä omaavien lasten ja nuorten sekä heidän perheidensä voimavarojen tukemiseen sekä osallisuuden ja arjen hallinnan lisäämiseen - Matalan kynnyksen ohjaukseen ja neuvontaan - Vertaistukitoimintaan - Osallistaviin ja kuulemista edistäviin tilaisuuksiin (PERPE-keskus) (203 029 €)</t>
        </is>
      </c>
    </row>
    <row r="360">
      <c r="A360" s="2">
        <v>359</v>
      </c>
      <c r="B360" s="2">
        <v>1040</v>
      </c>
      <c r="C360" t="inlineStr" s="0">
        <is>
          <t>ETELÄ-POHJANMAAN ENSI- JA TURVAKOTIYHDISTYS RY</t>
        </is>
      </c>
      <c r="D360" s="2">
        <v>202170.0</v>
      </c>
      <c r="E360" s="2">
        <v>202170.0</v>
      </c>
      <c r="F360" s="2">
        <v>0.0</v>
      </c>
      <c r="G360" s="2">
        <v>100.0</v>
      </c>
      <c r="H360" s="2">
        <v>1</v>
      </c>
      <c r="I360" t="inlineStr" s="0">
        <is>
          <t>Ak 2: Avokriisityöhön perhe- ja lähisuhdeväkivaltaa kokeneiden ja käyttäneiden kanssa sekä eroauttamiseen ja lapsiperheitä tukevaan järjestölähtöiseen kansalaistoimintaan (202 170 €)</t>
        </is>
      </c>
    </row>
    <row r="361">
      <c r="A361" s="2">
        <v>360</v>
      </c>
      <c r="B361" s="2">
        <v>17</v>
      </c>
      <c r="C361" t="inlineStr" s="0">
        <is>
          <t>HUOMA - HENKIRIKOKSEN UHRIEN LÄHEISET RY</t>
        </is>
      </c>
      <c r="D361" s="2">
        <v>200000.0</v>
      </c>
      <c r="E361" s="2">
        <v>200000.0</v>
      </c>
      <c r="F361" s="2">
        <v>0.0</v>
      </c>
      <c r="G361" s="2">
        <v>100.0</v>
      </c>
      <c r="H361" s="2">
        <v>1</v>
      </c>
      <c r="I361" t="inlineStr" s="0">
        <is>
          <t>Ak 2: Henkirikoksen uhrien läheisten hyvinvoinnin ja sosiaalisen toimintakyvyn lisäämiseen valtakunnallisen palveluohjauksen, vertaistuen, yksilöllisen tuen ja kurssitoiminnan sekä vaikuttamistyön keinoin. (200 000 €)</t>
        </is>
      </c>
    </row>
    <row r="362">
      <c r="A362" s="2">
        <v>361</v>
      </c>
      <c r="B362" s="2">
        <v>1191</v>
      </c>
      <c r="C362" t="inlineStr" s="0">
        <is>
          <t>LEIJONAEMOT RY</t>
        </is>
      </c>
      <c r="D362" s="2">
        <v>200000.0</v>
      </c>
      <c r="E362" s="2">
        <v>200000.0</v>
      </c>
      <c r="F362" s="2">
        <v>0.0</v>
      </c>
      <c r="G362" s="2">
        <v>100.0</v>
      </c>
      <c r="H362" s="2">
        <v>1</v>
      </c>
      <c r="I362" t="inlineStr" s="0">
        <is>
          <t>Ak 1: Erityislasten vanhempien osallisuuden ja vanhemmuuden tukemiseen vertaistuen, vapaaehtoistoiminnan, ohjauksen, kouluttamisen ja yhteiskunnallisen vaikuttamisen avulla. (200 000 €)</t>
        </is>
      </c>
    </row>
    <row r="363">
      <c r="A363" s="2">
        <v>362</v>
      </c>
      <c r="B363" s="2">
        <v>575</v>
      </c>
      <c r="C363" t="inlineStr" s="0">
        <is>
          <t>Monikulttuurikeskus Gloria</t>
        </is>
      </c>
      <c r="D363" s="2">
        <v>198954.0</v>
      </c>
      <c r="E363" s="2">
        <v>198954.0</v>
      </c>
      <c r="F363" s="2">
        <v>0.0</v>
      </c>
      <c r="G363" s="2">
        <v>100.0</v>
      </c>
      <c r="H363" s="2">
        <v>1</v>
      </c>
      <c r="I363" t="inlineStr" s="0">
        <is>
          <t>Ak 2232: Kaksisuuntaisen kotoutumisen ja eri taustaisten ihmisten kohtaamisten lisäämiseen sekä maahan muuttaneiden osallisuuden ja toimijuuden vahvistamiseen matalan kynnyksen toiminnalla, neuvonnalla, vapaaehtois- ja vertaisryhmätoiminnalla sekä tapahtumilla ja yhteistyöllä (Monikulttuurikeskus Gloria) (198 954 €)</t>
        </is>
      </c>
    </row>
    <row r="364">
      <c r="A364" s="2">
        <v>363</v>
      </c>
      <c r="B364" s="2">
        <v>172</v>
      </c>
      <c r="C364" t="inlineStr" s="0">
        <is>
          <t>AFRICAN CARE RY</t>
        </is>
      </c>
      <c r="D364" s="2">
        <v>198000.0</v>
      </c>
      <c r="E364" s="2">
        <v>198000.0</v>
      </c>
      <c r="F364" s="2">
        <v>0.0</v>
      </c>
      <c r="G364" s="2">
        <v>100.0</v>
      </c>
      <c r="H364" s="2">
        <v>1</v>
      </c>
      <c r="I364" t="inlineStr" s="0">
        <is>
          <t>Ak 4476: Maahanmuuttajanaisten ja heidän läheistensä hyvinvoinnin ja osallisuuden vahvistamiseen sekä kaksisuuntaisen kotoutumisen edistämiseen vertaisryhmä- ja harrastustoiminnan, neuvonnan, yksilöohjauksen ja vapaaehtoistoiminnan avulla Itä-Helsingissä (198 000 €)</t>
        </is>
      </c>
    </row>
    <row r="365">
      <c r="A365" s="2">
        <v>364</v>
      </c>
      <c r="B365" s="2">
        <v>196</v>
      </c>
      <c r="C365" t="inlineStr" s="0">
        <is>
          <t>ROVALAN NUORET RY</t>
        </is>
      </c>
      <c r="D365" s="2">
        <v>197863.0</v>
      </c>
      <c r="E365" s="2">
        <v>197863.0</v>
      </c>
      <c r="F365" s="2">
        <v>0.0</v>
      </c>
      <c r="G365" s="2">
        <v>100.0</v>
      </c>
      <c r="H365" s="2">
        <v>1</v>
      </c>
      <c r="I365" t="inlineStr" s="0">
        <is>
          <t>Ak 3264: Yksinäisten, masentuneiden, sosiaalisesti syrjäytyneiden, monikulttuuristen, psyykkisesti oireilevien ja muiden erityistä tukea tarvitsevien tyttöjen ja nuorten naisten matalan kynnyksen toimintaan sekä ryhmä- ja yksilötukeen (Tyttöjen Talo Rovaniemi) (197 863 €)</t>
        </is>
      </c>
    </row>
    <row r="366">
      <c r="A366" s="2">
        <v>365</v>
      </c>
      <c r="B366" s="2">
        <v>794</v>
      </c>
      <c r="C366" t="inlineStr" s="0">
        <is>
          <t>Etelä-Karjalan Sydänalue ry</t>
        </is>
      </c>
      <c r="D366" s="2">
        <v>195750.0</v>
      </c>
      <c r="E366" s="2">
        <v>195750.0</v>
      </c>
      <c r="F366" s="2">
        <v>0.0</v>
      </c>
      <c r="G366" s="2">
        <v>100.0</v>
      </c>
      <c r="H366" s="2">
        <v>1</v>
      </c>
      <c r="I366" t="inlineStr" s="0">
        <is>
          <t>Ak 5763: Valtimotautia sairastavien ja korkeassa sairastumisriskissä olevien henkilöiden, heidän läheisensä sekä muiden terveydestään kiinnostuneiden henkilöiden terveyden edistämiseen ja osallistumismahdollisuuksien tukemiseen. Eteläkarjalalaisten sydän- ja diabetesyhdistysten vertaistukitoiminnan koordinointiin, yhdistysten ryhmätoimintojen tukemiseen ja tilaisuuksien järjestämiseen yhteistyössä eri toimijoiden kanssa (Sydäntuki-toiminta) (195 750 €)</t>
        </is>
      </c>
    </row>
    <row r="367">
      <c r="A367" s="2">
        <v>366</v>
      </c>
      <c r="B367" s="2">
        <v>1182</v>
      </c>
      <c r="C367" t="inlineStr" s="0">
        <is>
          <t>SUOMEN VALKONAUHALIITTO RY</t>
        </is>
      </c>
      <c r="D367" s="2">
        <v>194700.0</v>
      </c>
      <c r="E367" s="2">
        <v>12000.0</v>
      </c>
      <c r="F367" s="2">
        <v>182700.0</v>
      </c>
      <c r="G367" s="2">
        <v>6.2</v>
      </c>
      <c r="H367" s="2">
        <v>2</v>
      </c>
      <c r="I367" t="inlineStr" s="0">
        <is>
          <t>Ay 1: Yleisavustuksena avustuksen saajan yleishyödylliseen toimintaan (182 700 €) | Ak 3: Jäsenjärjestöille kohdistettaviin avustuksiin (12 000 €)</t>
        </is>
      </c>
    </row>
    <row r="368">
      <c r="A368" s="2">
        <v>367</v>
      </c>
      <c r="B368" s="2">
        <v>163</v>
      </c>
      <c r="C368" t="inlineStr" s="0">
        <is>
          <t>MIELI Hyvinkään seudun mielenterveys ry</t>
        </is>
      </c>
      <c r="D368" s="2">
        <v>193871.0</v>
      </c>
      <c r="E368" s="2">
        <v>193871.0</v>
      </c>
      <c r="F368" s="2">
        <v>0.0</v>
      </c>
      <c r="G368" s="2">
        <v>100.0</v>
      </c>
      <c r="H368" s="2">
        <v>1</v>
      </c>
      <c r="I368" t="inlineStr" s="0">
        <is>
          <t>Ak 12642: Järjestölähtöiseen ammatillisesti ja vapaaehtoistyönä toteutettavaan kriisi- ja mielenterveystyöhön vaikeissa elämäntilanteissa oleville tarjoamalla matalan kynnyksen keskustelutukea vastaanotolla, puhelimessa ja verkossa, koordinoimalla vapaaehtoistyötä sekä järjestämällä koulutuksia (Hyvinkään kriisikeskus Hymise) (193 871 €)</t>
        </is>
      </c>
    </row>
    <row r="369">
      <c r="A369" s="2">
        <v>368</v>
      </c>
      <c r="B369" s="2">
        <v>336</v>
      </c>
      <c r="C369" t="inlineStr" s="0">
        <is>
          <t>Vammaisfoorumi ry</t>
        </is>
      </c>
      <c r="D369" s="2">
        <v>192937.0</v>
      </c>
      <c r="E369" s="2">
        <v>192937.0</v>
      </c>
      <c r="F369" s="2">
        <v>0.0</v>
      </c>
      <c r="G369" s="2">
        <v>100.0</v>
      </c>
      <c r="H369" s="2">
        <v>1</v>
      </c>
      <c r="I369" t="inlineStr" s="0">
        <is>
          <t>Ak 2: Vammaisten maahanmuuttajien tukikeskus Hilman neuvonta-, ryhmä-, vertaistoimintaan sekä edunvalvontaan ja viestintään (192 937 €)</t>
        </is>
      </c>
    </row>
    <row r="370">
      <c r="A370" s="2">
        <v>369</v>
      </c>
      <c r="B370" s="2">
        <v>1024</v>
      </c>
      <c r="C370" t="inlineStr" s="0">
        <is>
          <t>SAIRAALAKLOVNIT SJUKHUSCLOWNER RY</t>
        </is>
      </c>
      <c r="D370" s="2">
        <v>190799.0</v>
      </c>
      <c r="E370" s="2">
        <v>190799.0</v>
      </c>
      <c r="F370" s="2">
        <v>0.0</v>
      </c>
      <c r="G370" s="2">
        <v>100.0</v>
      </c>
      <c r="H370" s="2">
        <v>1</v>
      </c>
      <c r="I370" t="inlineStr" s="0">
        <is>
          <t>Ak 1: Yliopistosairaaloiden lasten- ja nuortenosastojen potilaiden sekä heidän lähiomaistensa psykososiaaliseen tukeen läsnä- ja etämuotoisella sairaalaklovnitoiminnalla (190 799 €)</t>
        </is>
      </c>
    </row>
    <row r="371">
      <c r="A371" s="2">
        <v>370</v>
      </c>
      <c r="B371" s="2">
        <v>80</v>
      </c>
      <c r="C371" t="inlineStr" s="0">
        <is>
          <t>HAKUNILAN KANSAINVÄLINEN YHDISTYS RY</t>
        </is>
      </c>
      <c r="D371" s="2">
        <v>190733.0</v>
      </c>
      <c r="E371" s="2">
        <v>190733.0</v>
      </c>
      <c r="F371" s="2">
        <v>0.0</v>
      </c>
      <c r="G371" s="2">
        <v>100.0</v>
      </c>
      <c r="H371" s="2">
        <v>1</v>
      </c>
      <c r="I371" t="inlineStr" s="0">
        <is>
          <t>Ak 3: Kaksisuuntaisen kotoutumisen sekä maahanmuuttajataustaisten toimintakyvyn ja osallisuuden edistämiseen neuvonnan, vertaisryhmien, palveluohjauksen, verkosto- ja viranomaisyhteistyön sekä kurssi- ja harrastustoiminnan avulla matalan kynnyksen kohtaamispaikassa.  Toimintapisteet Vantaan Hakunilassa ja Länsimäessä (190 733 €)</t>
        </is>
      </c>
    </row>
    <row r="372">
      <c r="A372" s="2">
        <v>371</v>
      </c>
      <c r="B372" s="2">
        <v>1983</v>
      </c>
      <c r="C372" t="inlineStr" s="0">
        <is>
          <t>Jade yhteisö ry</t>
        </is>
      </c>
      <c r="D372" s="2">
        <v>190000.0</v>
      </c>
      <c r="E372" s="2">
        <v>190000.0</v>
      </c>
      <c r="F372" s="2">
        <v>0.0</v>
      </c>
      <c r="G372" s="2">
        <v>100.0</v>
      </c>
      <c r="H372" s="2">
        <v>1</v>
      </c>
      <c r="I372" t="inlineStr" s="0">
        <is>
          <t>Ak 9572: Ikääntyvien maahan muuttaneiden hyvinvoinnin, osallisuuden ja toimijuuden edistämiseen sekä vanhustyön ammattilaisten moninaisuusosaamisen vahvistamiseen kohtaamispaikkatoiminnan, vertaisryhmätoiminnan, yksilöllisen tuen ja neuvonnan sekä vapaaehtoistoiminnan avulla  (JADE-toimintakeskus) (190 000 €)</t>
        </is>
      </c>
    </row>
    <row r="373">
      <c r="A373" s="2">
        <v>372</v>
      </c>
      <c r="B373" s="2">
        <v>346</v>
      </c>
      <c r="C373" t="inlineStr" s="0">
        <is>
          <t>MIELI - Pohjois-Karjalan mielenterveys ry</t>
        </is>
      </c>
      <c r="D373" s="2">
        <v>189600.0</v>
      </c>
      <c r="E373" s="2">
        <v>189600.0</v>
      </c>
      <c r="F373" s="2">
        <v>0.0</v>
      </c>
      <c r="G373" s="2">
        <v>100.0</v>
      </c>
      <c r="H373" s="2">
        <v>1</v>
      </c>
      <c r="I373" t="inlineStr" s="0">
        <is>
          <t>Ak 1: Järjestölähtöiseen kriisi- ja mielenterveystyöhön vaikeissa elämäntilanteissa oleville tarjoamalla matalan kynnyksen keskusteluapua ja ammattillisesti ohjattuja ryhmiä (Pohjois-Karjalan kriisikeskus) sekä vapaaehtoistoimintaa (Mieli ry:n kriisipuhelin ja Sekasin Chat) (189 600 €)</t>
        </is>
      </c>
    </row>
    <row r="374">
      <c r="A374" s="2">
        <v>373</v>
      </c>
      <c r="B374" s="2">
        <v>653</v>
      </c>
      <c r="C374" t="inlineStr" s="0">
        <is>
          <t>TURVALLISEN VANHUUDEN PUOLESTA - SUVANTO RY</t>
        </is>
      </c>
      <c r="D374" s="2">
        <v>189425.0</v>
      </c>
      <c r="E374" s="2">
        <v>189425.0</v>
      </c>
      <c r="F374" s="2">
        <v>0.0</v>
      </c>
      <c r="G374" s="2">
        <v>100.0</v>
      </c>
      <c r="H374" s="2">
        <v>1</v>
      </c>
      <c r="I374" t="inlineStr" s="0">
        <is>
          <t>Ak 1: Ikääntyneiden lähisuhdeväkivallan ja kaltoinkohtelun uhrien ja heidän läheistensä sekä väkivallan tekijöiden auttamiseen yksilö-, pari- ja ryhmätoiminnan keinoin. Lähisuhdeväkivallan ja kaltoinkohtelun ennaltaehkäisevään työhön ja tiedon tuottamiseen lähisuhdeväkivalta ilmiöstä. (189 425 €)</t>
        </is>
      </c>
    </row>
    <row r="375">
      <c r="A375" s="2">
        <v>374</v>
      </c>
      <c r="B375" s="2">
        <v>2031</v>
      </c>
      <c r="C375" t="inlineStr" s="0">
        <is>
          <t>PÄIJÄT-HÄMEEN SOSIAALIPSYKIATRINEN SÄÄTIÖ SR</t>
        </is>
      </c>
      <c r="D375" s="2">
        <v>188787.0</v>
      </c>
      <c r="E375" s="2">
        <v>150000.0</v>
      </c>
      <c r="F375" s="2">
        <v>38787.0</v>
      </c>
      <c r="G375" s="2">
        <v>79.5</v>
      </c>
      <c r="H375" s="2">
        <v>2</v>
      </c>
      <c r="I375" t="inlineStr" s="0">
        <is>
          <t>Ak 11766: Mielenterveyskuntoutujien tasa-arvoisen osallisuuden, hyvinvoinnin ja terveyden edistämiseen elämäntapaohjauksella Päijät-Hämeessä (RAULI ha(ll)ussa -toiminta) (150 000 €) | C 13750: Euroopan sosiaalirahasto plussan (ESR+) hankkeen "Vertaisvoimaa työllistymiseen (210545)" osarahoitukseen järjestölle (2026-2028) (38 787 €)</t>
        </is>
      </c>
    </row>
    <row r="376">
      <c r="A376" s="2">
        <v>375</v>
      </c>
      <c r="B376" s="2">
        <v>1037</v>
      </c>
      <c r="C376" t="inlineStr" s="0">
        <is>
          <t>Taiteen Sulattamo ry</t>
        </is>
      </c>
      <c r="D376" s="2">
        <v>188000.0</v>
      </c>
      <c r="E376" s="2">
        <v>188000.0</v>
      </c>
      <c r="F376" s="2">
        <v>0.0</v>
      </c>
      <c r="G376" s="2">
        <v>100.0</v>
      </c>
      <c r="H376" s="2">
        <v>1</v>
      </c>
      <c r="I376" t="inlineStr" s="0">
        <is>
          <t>Ak 9780: Mielenterveys- ja päihdetoipujien osallisuuden ja merkityksellisyyden kokemuksen vahvistamiseen vertaisohjaaja- ja kokemusasiantuntijakoulutusten sekä ryhmätoimintojen keinoin. Kokemusasiantuntijakoulutusten ja -toiminnan vastuullisuuden ja yhdenvertaisuuden lisäämiseen valtakunnallisesti koulutusten laatua parantamalla Vastuullisuuden sydämen avulla. (Mielekäs Muutos) (188 000 €)</t>
        </is>
      </c>
    </row>
    <row r="377">
      <c r="A377" s="2">
        <v>376</v>
      </c>
      <c r="B377" s="2">
        <v>1156</v>
      </c>
      <c r="C377" t="inlineStr" s="0">
        <is>
          <t>Mieli Meri-Lapin mielenterveys ry</t>
        </is>
      </c>
      <c r="D377" s="2">
        <v>187425.0</v>
      </c>
      <c r="E377" s="2">
        <v>187425.0</v>
      </c>
      <c r="F377" s="2">
        <v>0.0</v>
      </c>
      <c r="G377" s="2">
        <v>100.0</v>
      </c>
      <c r="H377" s="2">
        <v>1</v>
      </c>
      <c r="I377" t="inlineStr" s="0">
        <is>
          <t>Ak 1: Vaikeissa elämäntilanteissa oleville henkilöille suunnattuun järjestölähtöiseen kriisi- ja mielenterveystyöhön tarjoamalla matalan kynnyksen keskusteluapua, vapaaehtoistoimintaa ja mielenterveysosaamisen vahvistamista. (MIELI Kriisikeskus Meri-Lappi) (187 425 €)</t>
        </is>
      </c>
    </row>
    <row r="378">
      <c r="A378" s="2">
        <v>377</v>
      </c>
      <c r="B378" s="2">
        <v>60</v>
      </c>
      <c r="C378" t="inlineStr" s="0">
        <is>
          <t>Salon Klubitalo ry</t>
        </is>
      </c>
      <c r="D378" s="2">
        <v>187425.0</v>
      </c>
      <c r="E378" s="2">
        <v>187425.0</v>
      </c>
      <c r="F378" s="2">
        <v>0.0</v>
      </c>
      <c r="G378" s="2">
        <v>100.0</v>
      </c>
      <c r="H378" s="2">
        <v>1</v>
      </c>
      <c r="I378" t="inlineStr" s="0">
        <is>
          <t>Ak 3324: Mielenterveyskuntoutujien terveyttä, hyvinvointia, osallisuutta sekä työ- ja opiskeluelämään palaamista edistävään tavoitteelliseen kohtaamispaikkatoimintaan (Salon klubitalo) (187 425 €)</t>
        </is>
      </c>
    </row>
    <row r="379">
      <c r="A379" s="2">
        <v>378</v>
      </c>
      <c r="B379" s="2">
        <v>1206</v>
      </c>
      <c r="C379" t="inlineStr" s="0">
        <is>
          <t>Mannerheimin Lastensuojeluliiton Hämeen piiri ry</t>
        </is>
      </c>
      <c r="D379" s="2">
        <v>185374.0</v>
      </c>
      <c r="E379" s="2">
        <v>185374.0</v>
      </c>
      <c r="F379" s="2">
        <v>0.0</v>
      </c>
      <c r="G379" s="2">
        <v>100.0</v>
      </c>
      <c r="H379" s="2">
        <v>1</v>
      </c>
      <c r="I379" t="inlineStr" s="0">
        <is>
          <t>Ak 7007: Odottavien, alle kouluikäisten ja alakouluikäisten lasten vanhempien vanhemmuuden ja perheen hyvinvoinnin tukemiseen arjessa ammatillisesti ohjatun vapaaehtoistoiminnan keinoin Pirkanmaan, Päijät-Hämeen ja Kanta-Hämeen alueella (Perhekummi-, lukumummi- ja vaaritoiminta sekä läksykummitoiminta) (185 374 €)</t>
        </is>
      </c>
    </row>
    <row r="380">
      <c r="A380" s="2">
        <v>379</v>
      </c>
      <c r="B380" s="2">
        <v>1130</v>
      </c>
      <c r="C380" t="inlineStr" s="0">
        <is>
          <t>Mielle ry - Mielle rf</t>
        </is>
      </c>
      <c r="D380" s="2">
        <v>185000.0</v>
      </c>
      <c r="E380" s="2">
        <v>185000.0</v>
      </c>
      <c r="F380" s="2">
        <v>0.0</v>
      </c>
      <c r="G380" s="2">
        <v>100.0</v>
      </c>
      <c r="H380" s="2">
        <v>1</v>
      </c>
      <c r="I380" t="inlineStr" s="0">
        <is>
          <t>Ak 1: Asukkaiden mielen hyvinvointia ja yhteisöllisyyttä lisäävään matalan kynnyksen kohtaamispaikka-, vertais- ja vapaaehtoistoimintaan Vaasassa (Mahis - Mahdollisuuksien talo / Möjligheternas hus) (185 000 €)</t>
        </is>
      </c>
    </row>
    <row r="381">
      <c r="A381" s="2">
        <v>380</v>
      </c>
      <c r="B381" s="2">
        <v>393</v>
      </c>
      <c r="C381" t="inlineStr" s="0">
        <is>
          <t>PIRKANMAAN SETA RY</t>
        </is>
      </c>
      <c r="D381" s="2">
        <v>184450.0</v>
      </c>
      <c r="E381" s="2">
        <v>184450.0</v>
      </c>
      <c r="F381" s="2">
        <v>0.0</v>
      </c>
      <c r="G381" s="2">
        <v>100.0</v>
      </c>
      <c r="H381" s="2">
        <v>1</v>
      </c>
      <c r="I381" t="inlineStr" s="0">
        <is>
          <t>Ak 3094: Seksuaali- ja sukupuolivähemmistöön kuuluvien henkilöiden seksuaalisen suuntautumisen, seksuaalisuuden ja sukupuoli-identiteetin jäsentymisen tukemiseen sekä elämänhallinnan ja hyvinvoinnin lisäämiseen valtakunnallisen puhelin- ja verkkoauttamisen sekä alueellisen vertaisryhmä- ja tukitoiminnan ja yhteistyön avulla (184 450 €)</t>
        </is>
      </c>
    </row>
    <row r="382">
      <c r="A382" s="2">
        <v>381</v>
      </c>
      <c r="B382" s="2">
        <v>1376</v>
      </c>
      <c r="C382" t="inlineStr" s="0">
        <is>
          <t>MIELENTERVEYSYHDISTYS ETAPPI RY</t>
        </is>
      </c>
      <c r="D382" s="2">
        <v>182000.0</v>
      </c>
      <c r="E382" s="2">
        <v>182000.0</v>
      </c>
      <c r="F382" s="2">
        <v>0.0</v>
      </c>
      <c r="G382" s="2">
        <v>100.0</v>
      </c>
      <c r="H382" s="2">
        <v>1</v>
      </c>
      <c r="I382" t="inlineStr" s="0">
        <is>
          <t>Ak 10084: Mielenterveyshäiriöihin liittyvien ennakkoluulojen vähentämiseen sekä nuorten mielenterveyskuntoutujien toimijuuden ja vaikuttamisosaamisen vahvistamiseen ryhmämuotoisella kokemusasiantuntijatoiminnalla (Nuorten aikuisten mielenterveysaktivismiryhmä Koala) sekä valtakunnallisen vapaaehtoisten vertaistukiverkoston sekä vapaaehtoisvalmennuksien ylläpitämisellä (Kukkuu Kollektiivi) (182 000 €)</t>
        </is>
      </c>
    </row>
    <row r="383">
      <c r="A383" s="2">
        <v>382</v>
      </c>
      <c r="B383" s="2">
        <v>682</v>
      </c>
      <c r="C383" t="inlineStr" s="0">
        <is>
          <t>KOIVUPIRTIN SÄÄTIÖ</t>
        </is>
      </c>
      <c r="D383" s="2">
        <v>181913.0</v>
      </c>
      <c r="E383" s="2">
        <v>181913.0</v>
      </c>
      <c r="F383" s="2">
        <v>0.0</v>
      </c>
      <c r="G383" s="2">
        <v>100.0</v>
      </c>
      <c r="H383" s="2">
        <v>1</v>
      </c>
      <c r="I383" t="inlineStr" s="0">
        <is>
          <t>Ak 5746: Yli 65-vuotiaiden sosiaalisen hyvinvoinnin, osallisuuden ja digitaitojen vahvistamiseen, yksinäisyyden ehkäisemiseen sekä itsenäisen kotona asumisen tukemiseen ryhmä- ja kohtaamispaikkatoiminnan avulla (Kalevan kulman Iloa arkeen -pysäkit) (181 913 €)</t>
        </is>
      </c>
    </row>
    <row r="384">
      <c r="A384" s="2">
        <v>383</v>
      </c>
      <c r="B384" s="2">
        <v>372</v>
      </c>
      <c r="C384" t="inlineStr" s="0">
        <is>
          <t>Lohjan Monitoimikeskus ry</t>
        </is>
      </c>
      <c r="D384" s="2">
        <v>181913.0</v>
      </c>
      <c r="E384" s="2">
        <v>181913.0</v>
      </c>
      <c r="F384" s="2">
        <v>0.0</v>
      </c>
      <c r="G384" s="2">
        <v>100.0</v>
      </c>
      <c r="H384" s="2">
        <v>1</v>
      </c>
      <c r="I384" t="inlineStr" s="0">
        <is>
          <t>Ak 2: Maahanmuuttajataustaisten osallisuuden, sosiaalisen vahvistumisen ja työelämävalmiuksien edistämiseen matalan kynnyksen toiminnalla. Toimintamuotoina yksilöohjaus ja ryhmätoiminta, oppilaitos- ja työnantajayhteistyö, asiantuntija- ja verkostotyö sekä vapaaehtoistoiminta (181 913 €)</t>
        </is>
      </c>
    </row>
    <row r="385">
      <c r="A385" s="2">
        <v>384</v>
      </c>
      <c r="B385" s="2">
        <v>352</v>
      </c>
      <c r="C385" t="inlineStr" s="0">
        <is>
          <t>RAAHEN PSYYKE RY</t>
        </is>
      </c>
      <c r="D385" s="2">
        <v>181600.0</v>
      </c>
      <c r="E385" s="2">
        <v>181600.0</v>
      </c>
      <c r="F385" s="2">
        <v>0.0</v>
      </c>
      <c r="G385" s="2">
        <v>100.0</v>
      </c>
      <c r="H385" s="2">
        <v>1</v>
      </c>
      <c r="I385" t="inlineStr" s="0">
        <is>
          <t>Ak 1: Mielenterveys- ja päihdekuntoutujien hyvinvoinnin ja osallisuuden vahvistamiseen kohtaamispaikka- sekä vapaaehtois- ja vertaistoiminnoilla Raahen seudulla (181 600 €)</t>
        </is>
      </c>
    </row>
    <row r="386">
      <c r="A386" s="2">
        <v>385</v>
      </c>
      <c r="B386" s="2">
        <v>208</v>
      </c>
      <c r="C386" t="inlineStr" s="0">
        <is>
          <t>Salon Syty ry</t>
        </is>
      </c>
      <c r="D386" s="2">
        <v>180600.0</v>
      </c>
      <c r="E386" s="2">
        <v>180600.0</v>
      </c>
      <c r="F386" s="2">
        <v>0.0</v>
      </c>
      <c r="G386" s="2">
        <v>100.0</v>
      </c>
      <c r="H386" s="2">
        <v>1</v>
      </c>
      <c r="I386" t="inlineStr" s="0">
        <is>
          <t>Ak 1: Salon seudulla toimivien potilas- ja vammaisyhdistysten yhteistyön, edunvalvonnan ja vapaaehtoistoiminnan kehittämiseen sekä järjestöjen toimintaedellytysten turvaamiseen (180 600 €)</t>
        </is>
      </c>
    </row>
    <row r="387">
      <c r="A387" s="2">
        <v>386</v>
      </c>
      <c r="B387" s="2">
        <v>182</v>
      </c>
      <c r="C387" t="inlineStr" s="0">
        <is>
          <t>FinFami Satakunta ry</t>
        </is>
      </c>
      <c r="D387" s="2">
        <v>177000.0</v>
      </c>
      <c r="E387" s="2">
        <v>177000.0</v>
      </c>
      <c r="F387" s="2">
        <v>0.0</v>
      </c>
      <c r="G387" s="2">
        <v>100.0</v>
      </c>
      <c r="H387" s="2">
        <v>1</v>
      </c>
      <c r="I387" t="inlineStr" s="0">
        <is>
          <t>Ak 1: Mielenterveysomaisten osallisuuden ja toimintakyvyn vahvistamiseen omaisneuvonnan, vertaistuen, omaiskurssien sekä mielenterveysomaisille ja ammattilaisille suunnatun tiedon lisäämisen ja vaikuttamistyön avulla Satakunnan alueella (177 000 €)</t>
        </is>
      </c>
    </row>
    <row r="388">
      <c r="A388" s="2">
        <v>387</v>
      </c>
      <c r="B388" s="2">
        <v>518</v>
      </c>
      <c r="C388" t="inlineStr" s="0">
        <is>
          <t>MANNERHEIMIN LASTENSUOJELULIITON POHJANMAAN PIIRI</t>
        </is>
      </c>
      <c r="D388" s="2">
        <v>174825.0</v>
      </c>
      <c r="E388" s="2">
        <v>174825.0</v>
      </c>
      <c r="F388" s="2">
        <v>0.0</v>
      </c>
      <c r="G388" s="2">
        <v>100.0</v>
      </c>
      <c r="H388" s="2">
        <v>1</v>
      </c>
      <c r="I388" t="inlineStr" s="0">
        <is>
          <t>Ak 6974: Alaikäisten lasten vanhempien ja maahanmuuttajaäitien vanhemmuuden ja osallisuuden tukemiseen sekä lasten ja nuorten yksinäisyyden ehkäisemiseen, sukupolvien välisen kohtaamisen mahdollistamiseen ja lukemissujuvuuden edistämiseen ammatillisesti ohjatun vapaaehtoisen tukihenkilötoiminnan sekä läksykerhotoiminnan keinoin (Ystäväksi maahanmuuttajaäidille-, kaveri- ja perhekummitoiminnat, sukupolvien välinen toiminta) (174 825 €)</t>
        </is>
      </c>
    </row>
    <row r="389">
      <c r="A389" s="2">
        <v>388</v>
      </c>
      <c r="B389" s="2">
        <v>148</v>
      </c>
      <c r="C389" t="inlineStr" s="0">
        <is>
          <t>MIELI Jyväskylän seudun mielenterveys ry</t>
        </is>
      </c>
      <c r="D389" s="2">
        <v>174405.0</v>
      </c>
      <c r="E389" s="2">
        <v>174405.0</v>
      </c>
      <c r="F389" s="2">
        <v>0.0</v>
      </c>
      <c r="G389" s="2">
        <v>100.0</v>
      </c>
      <c r="H389" s="2">
        <v>1</v>
      </c>
      <c r="I389" t="inlineStr" s="0">
        <is>
          <t>Ak 1: Järjestölähtöiseen kriisi- ja mielenterveystyöhön vaikeissa elämäntilanteissa oleville sekä väkivaltaisesti käyttäytyneiden henkilöiden ja väkivaltaa kokeneiden henkilöiden auttamiseen - puhelimitse, kasvokkain, verkkoauttamisen ja jalkautuvan työn keinoin - yksilö ja ryhmämuotoiseen tukeen - vapaaehtoistyöhön (MIELI Kriisikeskus Mobile) (174 405 €)</t>
        </is>
      </c>
    </row>
    <row r="390">
      <c r="A390" s="2">
        <v>389</v>
      </c>
      <c r="B390" s="2">
        <v>1007</v>
      </c>
      <c r="C390" t="inlineStr" s="0">
        <is>
          <t>HARJULAN SETLEMENTTI RY</t>
        </is>
      </c>
      <c r="D390" s="2">
        <v>173250.0</v>
      </c>
      <c r="E390" s="2">
        <v>173250.0</v>
      </c>
      <c r="F390" s="2">
        <v>0.0</v>
      </c>
      <c r="G390" s="2">
        <v>100.0</v>
      </c>
      <c r="H390" s="2">
        <v>2</v>
      </c>
      <c r="I390" t="inlineStr" s="0">
        <is>
          <t>Ak 2: Matalan kynnyksen tukea, neuvontaa ja jälkihoitoa kiusaamista kokeneille, läheisille sekä eri alojen ammattilaisille (Valopilkku) (105 000 €) | Ak 9642: Ammatillisesti koordinoitua vapaaehtoisten aikuisten tukihenkilötoimintaa lasten ja nuorten tukiverkoston laajentamiseksi ja hyvinvoinnin edistämiseksi Lahden seudulla (OmaKamu) (68 250 €)</t>
        </is>
      </c>
    </row>
    <row r="391">
      <c r="A391" s="2">
        <v>390</v>
      </c>
      <c r="B391" s="2">
        <v>433</v>
      </c>
      <c r="C391" t="inlineStr" s="0">
        <is>
          <t>Parempi avioliitto ry</t>
        </is>
      </c>
      <c r="D391" s="2">
        <v>171500.0</v>
      </c>
      <c r="E391" s="2">
        <v>171500.0</v>
      </c>
      <c r="F391" s="2">
        <v>0.0</v>
      </c>
      <c r="G391" s="2">
        <v>100.0</v>
      </c>
      <c r="H391" s="2">
        <v>1</v>
      </c>
      <c r="I391" t="inlineStr" s="0">
        <is>
          <t>Ak 5641: Parisuhdekriisissä tai haastavassa parisuhdetilanteessa olevien ihmisten auttamiseen vapaaehtoisuuteen perustuvan tukiparitoiminnan ja parisuhdepuhelimen keinoin (171 500 €)</t>
        </is>
      </c>
    </row>
    <row r="392">
      <c r="A392" s="2">
        <v>391</v>
      </c>
      <c r="B392" s="2">
        <v>640</v>
      </c>
      <c r="C392" t="inlineStr" s="0">
        <is>
          <t>HELSINGIN A-KILTA RY</t>
        </is>
      </c>
      <c r="D392" s="2">
        <v>171150.0</v>
      </c>
      <c r="E392" s="2">
        <v>171150.0</v>
      </c>
      <c r="F392" s="2">
        <v>0.0</v>
      </c>
      <c r="G392" s="2">
        <v>100.0</v>
      </c>
      <c r="H392" s="2">
        <v>1</v>
      </c>
      <c r="I392" t="inlineStr" s="0">
        <is>
          <t>Ak 2637: Päihteettömän vertais- ja vapaaehtoistoiminnan ja matalakynnyksisen kohtaamispaikkatoiminnan järjestämiseen ja kehittämiseen (171 150 €)</t>
        </is>
      </c>
    </row>
    <row r="393">
      <c r="A393" s="2">
        <v>392</v>
      </c>
      <c r="B393" s="2">
        <v>1125</v>
      </c>
      <c r="C393" t="inlineStr" s="0">
        <is>
          <t>LAPIN NÄKÖVAMMAISET RY</t>
        </is>
      </c>
      <c r="D393" s="2">
        <v>169900.0</v>
      </c>
      <c r="E393" s="2">
        <v>169900.0</v>
      </c>
      <c r="F393" s="2">
        <v>0.0</v>
      </c>
      <c r="G393" s="2">
        <v>100.0</v>
      </c>
      <c r="H393" s="2">
        <v>1</v>
      </c>
      <c r="I393" t="inlineStr" s="0">
        <is>
          <t>Ak 2: Näkövammaisten itsenäisen elämän tukemiseen ja osallisuuden edistämiseen vertaistuen, ryhmätoiminnan, saavutettavan tiedon ja digituen avulla Lapin alueella (169 900 €)</t>
        </is>
      </c>
    </row>
    <row r="394">
      <c r="A394" s="2">
        <v>393</v>
      </c>
      <c r="B394" s="2">
        <v>1020</v>
      </c>
      <c r="C394" t="inlineStr" s="0">
        <is>
          <t>Monikulttuurikeskus Saaga ry</t>
        </is>
      </c>
      <c r="D394" s="2">
        <v>169000.0</v>
      </c>
      <c r="E394" s="2">
        <v>169000.0</v>
      </c>
      <c r="F394" s="2">
        <v>0.0</v>
      </c>
      <c r="G394" s="2">
        <v>100.0</v>
      </c>
      <c r="H394" s="2">
        <v>1</v>
      </c>
      <c r="I394" t="inlineStr" s="0">
        <is>
          <t>Ak 11008: Kaksisuuntaisen kotoutumisen sekä maahanmuuttajataustaisten ja muiden alueen asukkaiden hyvinvoinnin, osallisuuden ja arjen hallinnan edistämiseen sekä kunniaan liittyvän väkivallan ja lähisuhdeväkivallan ennaltaehkäisyyn kohtaamispaikkatoiminnan, vertais- ja ryhmätoiminnan, tiedottamisen ja tapahtumien sekä yksilö- ja palveluohjauksen avulla (169 000 €)</t>
        </is>
      </c>
    </row>
    <row r="395">
      <c r="A395" s="2">
        <v>394</v>
      </c>
      <c r="B395" s="2">
        <v>519</v>
      </c>
      <c r="C395" t="inlineStr" s="0">
        <is>
          <t>Päijät-Hämeen mielenterveysomaiset- FinFami ry</t>
        </is>
      </c>
      <c r="D395" s="2">
        <v>168500.0</v>
      </c>
      <c r="E395" s="2">
        <v>168500.0</v>
      </c>
      <c r="F395" s="2">
        <v>0.0</v>
      </c>
      <c r="G395" s="2">
        <v>100.0</v>
      </c>
      <c r="H395" s="2">
        <v>1</v>
      </c>
      <c r="I395" t="inlineStr" s="0">
        <is>
          <t>Ak 6: Mielenterveysomaisten osallisuuden ja toimintakyvyn vahvistamiseen henkilökohtaisen tuen ja neuvonnan, vertaistuen ja muun ryhmätoiminnan sekä yhteiskunnallisen vaikuttamisen avulla Päijät-Hämeen alueella (168 500 €)</t>
        </is>
      </c>
    </row>
    <row r="396">
      <c r="A396" s="2">
        <v>395</v>
      </c>
      <c r="B396" s="2">
        <v>1552</v>
      </c>
      <c r="C396" t="inlineStr" s="0">
        <is>
          <t>PALVELUTALOYHDISTYS KOSKENRINNE RY</t>
        </is>
      </c>
      <c r="D396" s="2">
        <v>168000.0</v>
      </c>
      <c r="E396" s="2">
        <v>168000.0</v>
      </c>
      <c r="F396" s="2">
        <v>0.0</v>
      </c>
      <c r="G396" s="2">
        <v>100.0</v>
      </c>
      <c r="H396" s="2">
        <v>1</v>
      </c>
      <c r="I396" t="inlineStr" s="0">
        <is>
          <t>Ak 10578: Ikääntyneiden maahan muuttaneiden yksinäisyyden vähentämiseen ja osallisuuden tukemiseen etsivän vanhustyön sekä ryhmä- ja yksilötoiminnan keinoin (Kotona täälläkin) (168 000 €)</t>
        </is>
      </c>
    </row>
    <row r="397">
      <c r="A397" s="2">
        <v>396</v>
      </c>
      <c r="B397" s="2">
        <v>1049</v>
      </c>
      <c r="C397" t="inlineStr" s="0">
        <is>
          <t>IRAKIN NAISTEN YHDISTYS RY</t>
        </is>
      </c>
      <c r="D397" s="2">
        <v>167451.0</v>
      </c>
      <c r="E397" s="2">
        <v>167451.0</v>
      </c>
      <c r="F397" s="2">
        <v>0.0</v>
      </c>
      <c r="G397" s="2">
        <v>100.0</v>
      </c>
      <c r="H397" s="2">
        <v>1</v>
      </c>
      <c r="I397" t="inlineStr" s="0">
        <is>
          <t>Ak 6197: Maahanmuuttajataustaisten naisten hyvinvoinnin, työelämä- ja opiskeluvalmiuksien sekä osallisuuden vahvistamiseen vertaisryhmien, infotilaisuuksien, vapaaehtoistoiminnan sekä yksilö- ja palveluohjauksen avulla pääkaupunkiseudulla (167 451 €)</t>
        </is>
      </c>
    </row>
    <row r="398">
      <c r="A398" s="2">
        <v>397</v>
      </c>
      <c r="B398" s="2">
        <v>544</v>
      </c>
      <c r="C398" t="inlineStr" s="0">
        <is>
          <t>KRIS - Satakunta ry</t>
        </is>
      </c>
      <c r="D398" s="2">
        <v>167250.0</v>
      </c>
      <c r="E398" s="2">
        <v>167250.0</v>
      </c>
      <c r="F398" s="2">
        <v>0.0</v>
      </c>
      <c r="G398" s="2">
        <v>100.0</v>
      </c>
      <c r="H398" s="2">
        <v>1</v>
      </c>
      <c r="I398" t="inlineStr" s="0">
        <is>
          <t>Ak 10211: Rikos- ja päihdetaustaisten henkilöiden auttamiseen ja tukemiseen vertaisuuteen perustuvan toimintakeskus- ja vankilatyön sekä naiserityisen työn keinoin Porissa, Raumalla ja muualla Satakunnassa (167 250 €)</t>
        </is>
      </c>
    </row>
    <row r="399">
      <c r="A399" s="2">
        <v>398</v>
      </c>
      <c r="B399" s="2">
        <v>1044</v>
      </c>
      <c r="C399" t="inlineStr" s="0">
        <is>
          <t>VAMMAISTEN LASTEN JA NUORTEN TUKISÄÄTIÖ</t>
        </is>
      </c>
      <c r="D399" s="2">
        <v>166222.0</v>
      </c>
      <c r="E399" s="2">
        <v>166222.0</v>
      </c>
      <c r="F399" s="2">
        <v>0.0</v>
      </c>
      <c r="G399" s="2">
        <v>100.0</v>
      </c>
      <c r="H399" s="2">
        <v>1</v>
      </c>
      <c r="I399" t="inlineStr" s="0">
        <is>
          <t>Ak 5575: Vammaisten nuorten työelämäosallisuuden vahvistamiseen työnantaja-, oppilaitos- ja työvoimapalveluyhteistyöllä sekä kokemusasiantuntijatoiminnalla (166 222 €)</t>
        </is>
      </c>
    </row>
    <row r="400">
      <c r="A400" s="2">
        <v>399</v>
      </c>
      <c r="B400" s="2">
        <v>409</v>
      </c>
      <c r="C400" t="inlineStr" s="0">
        <is>
          <t>FILHA RY</t>
        </is>
      </c>
      <c r="D400" s="2">
        <v>165559.0</v>
      </c>
      <c r="E400" s="2">
        <v>165559.0</v>
      </c>
      <c r="F400" s="2">
        <v>0.0</v>
      </c>
      <c r="G400" s="2">
        <v>100.0</v>
      </c>
      <c r="H400" s="2">
        <v>1</v>
      </c>
      <c r="I400" t="inlineStr" s="0">
        <is>
          <t>Ak 10174: Varusmiesten tupakka- ja nikotiinituotteiden käytön lopettamisen tukeen jalkautuvan ja verkossa tapahtuvan työn keinoin yhteistyössä Puolustusvoimien kanssa (Irti nuuskasta) (165 559 €)</t>
        </is>
      </c>
    </row>
    <row r="401">
      <c r="A401" s="2">
        <v>400</v>
      </c>
      <c r="B401" s="2">
        <v>646</v>
      </c>
      <c r="C401" t="inlineStr" s="0">
        <is>
          <t>LAPSEN KENGISSÄ RY</t>
        </is>
      </c>
      <c r="D401" s="2">
        <v>165375.0</v>
      </c>
      <c r="E401" s="2">
        <v>165375.0</v>
      </c>
      <c r="F401" s="2">
        <v>0.0</v>
      </c>
      <c r="G401" s="2">
        <v>100.0</v>
      </c>
      <c r="H401" s="2">
        <v>1</v>
      </c>
      <c r="I401" t="inlineStr" s="0">
        <is>
          <t>Ak 9954: Lapsiperheiden hyvinvoinnin ja osallisuuden edistämiseen verkostomaisesti toimivan kynnyksettömän yhteisötalon avulla (Varkauden Perheentalo) (165 375 €)</t>
        </is>
      </c>
    </row>
    <row r="402">
      <c r="A402" s="2">
        <v>401</v>
      </c>
      <c r="B402" s="2">
        <v>345</v>
      </c>
      <c r="C402" t="inlineStr" s="0">
        <is>
          <t>ENTER RY</t>
        </is>
      </c>
      <c r="D402" s="2">
        <v>165000.0</v>
      </c>
      <c r="E402" s="2">
        <v>165000.0</v>
      </c>
      <c r="F402" s="2">
        <v>0.0</v>
      </c>
      <c r="G402" s="2">
        <v>100.0</v>
      </c>
      <c r="H402" s="2">
        <v>1</v>
      </c>
      <c r="I402" t="inlineStr" s="0">
        <is>
          <t>Ak 6: Ikääntyneiden puutteellisten tietoteknisten taitojen edistämiseen sekä osallisuuden lisäämiseen vertaisopastustoiminnan avulla Uudellamaalla (165 000 €)</t>
        </is>
      </c>
    </row>
    <row r="403">
      <c r="A403" s="2">
        <v>402</v>
      </c>
      <c r="B403" s="2">
        <v>54</v>
      </c>
      <c r="C403" t="inlineStr" s="0">
        <is>
          <t>SALON MUISTIYHDISTYS RY</t>
        </is>
      </c>
      <c r="D403" s="2">
        <v>165000.0</v>
      </c>
      <c r="E403" s="2">
        <v>165000.0</v>
      </c>
      <c r="F403" s="2">
        <v>0.0</v>
      </c>
      <c r="G403" s="2">
        <v>100.0</v>
      </c>
      <c r="H403" s="2">
        <v>1</v>
      </c>
      <c r="I403" t="inlineStr" s="0">
        <is>
          <t>Ak 4: Matalan kynnyksen kohtaamispaikkaan muistisairaille sekä heidän vertaisryhmätoimintaansa, ohjaukseen ja tukeen, muistisairauksista tiedottamiseen erilaisten yleisötapahtumien ja Muistikahviloiden avulla sekä aivoterveyttä edistävään ja sairastumista jarruttavaan työhön Salon ja Someron alueella. (Salon Muistisatama) (165 000 €)</t>
        </is>
      </c>
    </row>
    <row r="404">
      <c r="A404" s="2">
        <v>403</v>
      </c>
      <c r="B404" s="2">
        <v>985</v>
      </c>
      <c r="C404" t="inlineStr" s="0">
        <is>
          <t>ATK SENIORIT MUKANETTI RY</t>
        </is>
      </c>
      <c r="D404" s="2">
        <v>164273.0</v>
      </c>
      <c r="E404" s="2">
        <v>164273.0</v>
      </c>
      <c r="F404" s="2">
        <v>0.0</v>
      </c>
      <c r="G404" s="2">
        <v>100.0</v>
      </c>
      <c r="H404" s="2">
        <v>1</v>
      </c>
      <c r="I404" t="inlineStr" s="0">
        <is>
          <t>Ak 1: Ikääntyneiden osallisuuden ja digitaitojen edistämiseen vertaistutor-toiminnan avulla Pirkanmaan alueella (164 273 €)</t>
        </is>
      </c>
    </row>
    <row r="405">
      <c r="A405" s="2">
        <v>404</v>
      </c>
      <c r="B405" s="2">
        <v>1685</v>
      </c>
      <c r="C405" t="inlineStr" s="0">
        <is>
          <t>Turun Valkonauha ry</t>
        </is>
      </c>
      <c r="D405" s="2">
        <v>163630.0</v>
      </c>
      <c r="E405" s="2">
        <v>163630.0</v>
      </c>
      <c r="F405" s="2">
        <v>0.0</v>
      </c>
      <c r="G405" s="2">
        <v>100.0</v>
      </c>
      <c r="H405" s="2">
        <v>1</v>
      </c>
      <c r="I405" t="inlineStr" s="0">
        <is>
          <t>Ak 10441: Haavoittuvassa asemassa olevien paperittomien ja paperittomuusuhan alla elävien naisten ja heidän perheidensä osallisuuden tukemiseen vapaaehtoistyön, päiväkeskustoiminnan, jalkautuvan palveluohjauksen ja neuvonnan avulla (163 630 €)</t>
        </is>
      </c>
    </row>
    <row r="406">
      <c r="A406" s="2">
        <v>405</v>
      </c>
      <c r="B406" s="2">
        <v>603</v>
      </c>
      <c r="C406" t="inlineStr" s="0">
        <is>
          <t>Hiiden Omaishoitajat ry</t>
        </is>
      </c>
      <c r="D406" s="2">
        <v>163540.0</v>
      </c>
      <c r="E406" s="2">
        <v>163540.0</v>
      </c>
      <c r="F406" s="2">
        <v>0.0</v>
      </c>
      <c r="G406" s="2">
        <v>100.0</v>
      </c>
      <c r="H406" s="2">
        <v>1</v>
      </c>
      <c r="I406" t="inlineStr" s="0">
        <is>
          <t>Ak 1918: Omaishoitajien toimintakyvyn tukemiseen tiedottamisen, neuvonnan, vertaistoiminnan ja valmennusten avulla Lohjalla, Vihdissä ja Karkkilassa (OmaisOiva) (163 540 €)</t>
        </is>
      </c>
    </row>
    <row r="407">
      <c r="A407" s="2">
        <v>406</v>
      </c>
      <c r="B407" s="2">
        <v>788</v>
      </c>
      <c r="C407" t="inlineStr" s="0">
        <is>
          <t>Mielenterveysyhdistys ITU ry</t>
        </is>
      </c>
      <c r="D407" s="2">
        <v>163468.0</v>
      </c>
      <c r="E407" s="2">
        <v>163468.0</v>
      </c>
      <c r="F407" s="2">
        <v>0.0</v>
      </c>
      <c r="G407" s="2">
        <v>100.0</v>
      </c>
      <c r="H407" s="2">
        <v>1</v>
      </c>
      <c r="I407" t="inlineStr" s="0">
        <is>
          <t>Ak 2: Mielenterveystoipujien yhteisöllisyyden lisäämiseen kohtaamispaikka-, vapaaehtois-, vertais- ja kokemusasiantuntijatoiminnalla Turussa ja Salossa (163 468 €)</t>
        </is>
      </c>
    </row>
    <row r="408">
      <c r="A408" s="2">
        <v>407</v>
      </c>
      <c r="B408" s="2">
        <v>619</v>
      </c>
      <c r="C408" t="inlineStr" s="0">
        <is>
          <t>Vantaan A-kilta ry</t>
        </is>
      </c>
      <c r="D408" s="2">
        <v>163170.0</v>
      </c>
      <c r="E408" s="2">
        <v>163170.0</v>
      </c>
      <c r="F408" s="2">
        <v>0.0</v>
      </c>
      <c r="G408" s="2">
        <v>100.0</v>
      </c>
      <c r="H408" s="2">
        <v>1</v>
      </c>
      <c r="I408" t="inlineStr" s="0">
        <is>
          <t>Ak 1: Päihde- ja mielenterveyskuntoutujien hyvinvoinnin ja osallisuuden lisäämiseen vertaistuella ja kohtaamispaikkatoiminnalla (163 170 €)</t>
        </is>
      </c>
    </row>
    <row r="409">
      <c r="A409" s="2">
        <v>408</v>
      </c>
      <c r="B409" s="2">
        <v>1213</v>
      </c>
      <c r="C409" t="inlineStr" s="0">
        <is>
          <t>FINFAMI - KANTA-HÄMEEN MIELENTERVEYSOMAISET RY</t>
        </is>
      </c>
      <c r="D409" s="2">
        <v>162736.0</v>
      </c>
      <c r="E409" s="2">
        <v>162736.0</v>
      </c>
      <c r="F409" s="2">
        <v>0.0</v>
      </c>
      <c r="G409" s="2">
        <v>100.0</v>
      </c>
      <c r="H409" s="2">
        <v>1</v>
      </c>
      <c r="I409" t="inlineStr" s="0">
        <is>
          <t>Ak 2: Mielenterveysomaisten osallisuuden ja toimintakyvyn vahvistamiseen henkilökohtaisen tuen ja neuvonnan, vertaistuen ja muun ryhmätoiminnan sekä yhteiskunnallisen vaikuttamisen avulla Kanta-Hämeen alueella (162 736 €)</t>
        </is>
      </c>
    </row>
    <row r="410">
      <c r="A410" s="2">
        <v>409</v>
      </c>
      <c r="B410" s="2">
        <v>1068</v>
      </c>
      <c r="C410" t="inlineStr" s="0">
        <is>
          <t>Mielenvireys ry</t>
        </is>
      </c>
      <c r="D410" s="2">
        <v>162564.0</v>
      </c>
      <c r="E410" s="2">
        <v>162564.0</v>
      </c>
      <c r="F410" s="2">
        <v>0.0</v>
      </c>
      <c r="G410" s="2">
        <v>100.0</v>
      </c>
      <c r="H410" s="2">
        <v>1</v>
      </c>
      <c r="I410" t="inlineStr" s="0">
        <is>
          <t>Ak 2: Mielenterveyskuntoutujien hyvinvoinnin ja osallisuuden vahvistamiseen vapaaehtois-, vertais- ja matalan kynnyksen kohtaamispaikkatoiminnalla Oulussa sekä etätoiminnoin koko Pohjois-Suomen alueella (162 564 €)</t>
        </is>
      </c>
    </row>
    <row r="411">
      <c r="A411" s="2">
        <v>410</v>
      </c>
      <c r="B411" s="2">
        <v>154</v>
      </c>
      <c r="C411" t="inlineStr" s="0">
        <is>
          <t>Monaliiku - Monikansallisten naisten hyvinvointi ja liikunta ry</t>
        </is>
      </c>
      <c r="D411" s="2">
        <v>162000.0</v>
      </c>
      <c r="E411" s="2">
        <v>162000.0</v>
      </c>
      <c r="F411" s="2">
        <v>0.0</v>
      </c>
      <c r="G411" s="2">
        <v>100.0</v>
      </c>
      <c r="H411" s="2">
        <v>1</v>
      </c>
      <c r="I411" t="inlineStr" s="0">
        <is>
          <t>Ak 4190: Maahanmuuttajataustaisten naisten terveyden ja osallisuuden edistämiseen neuvonnalla, liikunnalla, terveystiedon jakamisella sekä vertaisryhmä- ja vapaaehtoistoiminnalla (162 000 €)</t>
        </is>
      </c>
    </row>
    <row r="412">
      <c r="A412" s="2">
        <v>411</v>
      </c>
      <c r="B412" s="2">
        <v>373</v>
      </c>
      <c r="C412" t="inlineStr" s="0">
        <is>
          <t>Turun seudun Kehitysvammaisten Tuki ry</t>
        </is>
      </c>
      <c r="D412" s="2">
        <v>161797.0</v>
      </c>
      <c r="E412" s="2">
        <v>161797.0</v>
      </c>
      <c r="F412" s="2">
        <v>0.0</v>
      </c>
      <c r="G412" s="2">
        <v>100.0</v>
      </c>
      <c r="H412" s="2">
        <v>1</v>
      </c>
      <c r="I412" t="inlineStr" s="0">
        <is>
          <t>Ak 5640: Kehitysvammaisten ja erityistä tukea tarvitsevien henkilöiden yhteisöllisyyden, osallisuuden ja hyvinvoinnin edistämiseen sekä vertais- ja vapaaehtoistoiminnan kehittämiseen kohtaamispaikkatoiminnan avulla (Kohtaamispaikka Tärsky) (161 797 €)</t>
        </is>
      </c>
    </row>
    <row r="413">
      <c r="A413" s="2">
        <v>412</v>
      </c>
      <c r="B413" s="2">
        <v>837</v>
      </c>
      <c r="C413" t="inlineStr" s="0">
        <is>
          <t>Monikulttuurityö Mimosa ry</t>
        </is>
      </c>
      <c r="D413" s="2">
        <v>161000.0</v>
      </c>
      <c r="E413" s="2">
        <v>161000.0</v>
      </c>
      <c r="F413" s="2">
        <v>0.0</v>
      </c>
      <c r="G413" s="2">
        <v>100.0</v>
      </c>
      <c r="H413" s="2">
        <v>1</v>
      </c>
      <c r="I413" t="inlineStr" s="0">
        <is>
          <t>Ak 1: Kaksisuuntaisen kotoutumisen ja maahanmuuttajataustaisten hyvinvoinnin, arjen hallinnan ja osallisuuden edistämiseen kohtaamispaikkatoiminnan, neuvonnan ja yksilöohjauksen, tapahtumien sekä vaikuttamis- ja vertaisryhmätoiminnan avulla (161 000 €)</t>
        </is>
      </c>
    </row>
    <row r="414">
      <c r="A414" s="2">
        <v>413</v>
      </c>
      <c r="B414" s="2">
        <v>48</v>
      </c>
      <c r="C414" t="inlineStr" s="0">
        <is>
          <t>KOTA - LASTEN JA NUORTEN HYVINVOINTI RY</t>
        </is>
      </c>
      <c r="D414" s="2">
        <v>160550.0</v>
      </c>
      <c r="E414" s="2">
        <v>160550.0</v>
      </c>
      <c r="F414" s="2">
        <v>0.0</v>
      </c>
      <c r="G414" s="2">
        <v>100.0</v>
      </c>
      <c r="H414" s="2">
        <v>1</v>
      </c>
      <c r="I414" t="inlineStr" s="0">
        <is>
          <t>Ak 10983: Lasten yhteisöön kuulumisen tunteen lisäämiseen ja mielialan ja itsetunnon vahvistamiseen sekä sosiaalisissa tilanteissa toimimisen keinojen opetteluun ryhmätoiminnan keinoin. KOTA-kerhotoimintamallin levittämiseen ja juurruttamiseen. (KOTA-toiminta) (160 550 €)</t>
        </is>
      </c>
    </row>
    <row r="415">
      <c r="A415" s="2">
        <v>414</v>
      </c>
      <c r="B415" s="2">
        <v>734</v>
      </c>
      <c r="C415" t="inlineStr" s="0">
        <is>
          <t>TUKIYHDISTYS MAJAKKA RY</t>
        </is>
      </c>
      <c r="D415" s="2">
        <v>160308.0</v>
      </c>
      <c r="E415" s="2">
        <v>160308.0</v>
      </c>
      <c r="F415" s="2">
        <v>0.0</v>
      </c>
      <c r="G415" s="2">
        <v>100.0</v>
      </c>
      <c r="H415" s="2">
        <v>1</v>
      </c>
      <c r="I415" t="inlineStr" s="0">
        <is>
          <t>Ak 1: Mielenterveyskuntoutujien osallisuuden ja toimintakyvyn lisäämiseen palveluohjauksen, vertaisryhmätoiminnan, matalan kynnyksen kohtaamispaikkatoiminnan ja jalkautuvan työn avulla Länsi-Helsingissä (160 308 €)</t>
        </is>
      </c>
    </row>
    <row r="416">
      <c r="A416" s="2">
        <v>415</v>
      </c>
      <c r="B416" s="2">
        <v>636</v>
      </c>
      <c r="C416" t="inlineStr" s="0">
        <is>
          <t>HYVÄ KOTI RY</t>
        </is>
      </c>
      <c r="D416" s="2">
        <v>159863.0</v>
      </c>
      <c r="E416" s="2">
        <v>159863.0</v>
      </c>
      <c r="F416" s="2">
        <v>0.0</v>
      </c>
      <c r="G416" s="2">
        <v>100.0</v>
      </c>
      <c r="H416" s="2">
        <v>1</v>
      </c>
      <c r="I416" t="inlineStr" s="0">
        <is>
          <t>Ak 3: Mielenterveyskuntoutujien hyvinvoinnin, osallisuuden ja arjen hallinnan tukemiseen yhteisöllisillä ryhmätoiminnoilla Espoossa (Hyvis ja Nuorten Hyvis) (159 863 €)</t>
        </is>
      </c>
    </row>
    <row r="417">
      <c r="A417" s="2">
        <v>416</v>
      </c>
      <c r="B417" s="2">
        <v>204</v>
      </c>
      <c r="C417" t="inlineStr" s="0">
        <is>
          <t>ME ITSE RY</t>
        </is>
      </c>
      <c r="D417" s="2">
        <v>159863.0</v>
      </c>
      <c r="E417" s="2">
        <v>159863.0</v>
      </c>
      <c r="F417" s="2">
        <v>0.0</v>
      </c>
      <c r="G417" s="2">
        <v>100.0</v>
      </c>
      <c r="H417" s="2">
        <v>1</v>
      </c>
      <c r="I417" t="inlineStr" s="0">
        <is>
          <t>Ak 2: Kehitysvammaisten henkilöiden osallisuuden, vaikuttamismahdollisuuksien ja aktiivisen toimijuuden tukemiseen vertaistuen, tapahtumien ja tiedottamisen avulla - Paikallisten Me itse -ryhmien tukemiseen ja vapaaehtoisten taustatukihenkilöiden kouluttamiseen (Liike itsenäisen elämän puolesta) (159 863 €)</t>
        </is>
      </c>
    </row>
    <row r="418">
      <c r="A418" s="2">
        <v>417</v>
      </c>
      <c r="B418" s="2">
        <v>246</v>
      </c>
      <c r="C418" t="inlineStr" s="0">
        <is>
          <t>Joensuun seudun erilaiset oppijat ry</t>
        </is>
      </c>
      <c r="D418" s="2">
        <v>158251.0</v>
      </c>
      <c r="E418" s="2">
        <v>158251.0</v>
      </c>
      <c r="F418" s="2">
        <v>0.0</v>
      </c>
      <c r="G418" s="2">
        <v>100.0</v>
      </c>
      <c r="H418" s="2">
        <v>1</v>
      </c>
      <c r="I418" t="inlineStr" s="0">
        <is>
          <t>Ak 1594: Oppimisvaikeuksia kokevien vertaistukeen, arjen tukemiseen ja vahvistamiseen antamalla tietoa oppimisvaikeuksista sekä oppimisen apuvälineistä, tarjoamalla oppimisen ohjausta, lukitestausta ja kurssitoimintaa sekä mahdollisuutta kokeilla erilaisia oppimisen apuvälineitä ja saada tukea niiden käytössä (Opinpesä) (158 251 €)</t>
        </is>
      </c>
    </row>
    <row r="419">
      <c r="A419" s="2">
        <v>418</v>
      </c>
      <c r="B419" s="2">
        <v>547</v>
      </c>
      <c r="C419" t="inlineStr" s="0">
        <is>
          <t>MANNERHEIMIN LASTENSUOJELUL. IISALMEN YHDISTYS RY</t>
        </is>
      </c>
      <c r="D419" s="2">
        <v>158250.0</v>
      </c>
      <c r="E419" s="2">
        <v>158250.0</v>
      </c>
      <c r="F419" s="2">
        <v>0.0</v>
      </c>
      <c r="G419" s="2">
        <v>100.0</v>
      </c>
      <c r="H419" s="2">
        <v>1</v>
      </c>
      <c r="I419" t="inlineStr" s="0">
        <is>
          <t>Ak 1: Perheiden osallisuuden ja vanhemmuuden vahvistamiseen, vapaaehtoisten osallistumismahdollisuuksien lisäämiseen sekä järjestöjen ja muiden tahojen välisen yhteistyön edistämiseen Perheentalo-kumppanuusmallin keinoin (Perheentalo-yhteistyö) (158 250 €)</t>
        </is>
      </c>
    </row>
    <row r="420">
      <c r="A420" s="2">
        <v>419</v>
      </c>
      <c r="B420" s="2">
        <v>982</v>
      </c>
      <c r="C420" t="inlineStr" s="0">
        <is>
          <t>HUOLTOLIITTO RY</t>
        </is>
      </c>
      <c r="D420" s="2">
        <v>157500.0</v>
      </c>
      <c r="E420" s="2">
        <v>157500.0</v>
      </c>
      <c r="F420" s="2">
        <v>0.0</v>
      </c>
      <c r="G420" s="2">
        <v>100.0</v>
      </c>
      <c r="H420" s="2">
        <v>1</v>
      </c>
      <c r="I420" t="inlineStr" s="0">
        <is>
          <t>Ak 9971: Lapsiperheiden hyvinvoinnin ja osallisuuden tukemiseen verkostomaisesti toimivan matalan kynnyksen kohtaamispaikan ja kohdennettujen ryhmätoimintojen avulla  (Siilinjärven Perheentalo) (157 500 €)</t>
        </is>
      </c>
    </row>
    <row r="421">
      <c r="A421" s="2">
        <v>420</v>
      </c>
      <c r="B421" s="2">
        <v>1146</v>
      </c>
      <c r="C421" t="inlineStr" s="0">
        <is>
          <t>Suojatie ry</t>
        </is>
      </c>
      <c r="D421" s="2">
        <v>157500.0</v>
      </c>
      <c r="E421" s="2">
        <v>157500.0</v>
      </c>
      <c r="F421" s="2">
        <v>0.0</v>
      </c>
      <c r="G421" s="2">
        <v>100.0</v>
      </c>
      <c r="H421" s="2">
        <v>1</v>
      </c>
      <c r="I421" t="inlineStr" s="0">
        <is>
          <t>Ak 2: Päihderiippuvuudesta toipuvien päihteettömyyden tukemiseen kohtaamispaikkatoiminnan ja vertaisryhmätoiminnan avulla (157 500 €)</t>
        </is>
      </c>
    </row>
    <row r="422">
      <c r="A422" s="2">
        <v>421</v>
      </c>
      <c r="B422" s="2">
        <v>464</v>
      </c>
      <c r="C422" t="inlineStr" s="0">
        <is>
          <t>Oulun Diakonissalaitoksen Säätiö sr</t>
        </is>
      </c>
      <c r="D422" s="2">
        <v>157109.0</v>
      </c>
      <c r="E422" s="2">
        <v>157109.0</v>
      </c>
      <c r="F422" s="2">
        <v>0.0</v>
      </c>
      <c r="G422" s="2">
        <v>100.0</v>
      </c>
      <c r="H422" s="2">
        <v>2</v>
      </c>
      <c r="I422" t="inlineStr" s="0">
        <is>
          <t>Ak 7: Kidutettujen pakolaisten psykiatriseen kuntoutustoimintaan (2024-2026) (92 700 €) | Ak 4228: Ikääntyneiden hyvinvoinnin lisäämiseen ja yksinäisyyden kokemusten vähentämiseen vapaaehtoistoiminnan avulla (IkäElo) (64 409 €)</t>
        </is>
      </c>
    </row>
    <row r="423">
      <c r="A423" s="2">
        <v>422</v>
      </c>
      <c r="B423" s="2">
        <v>604</v>
      </c>
      <c r="C423" t="inlineStr" s="0">
        <is>
          <t>POHJOIS-KARJALAN KANSANTERVEYS RY</t>
        </is>
      </c>
      <c r="D423" s="2">
        <v>156071.0</v>
      </c>
      <c r="E423" s="2">
        <v>138371.0</v>
      </c>
      <c r="F423" s="2">
        <v>17700.0</v>
      </c>
      <c r="G423" s="2">
        <v>88.7</v>
      </c>
      <c r="H423" s="2">
        <v>2</v>
      </c>
      <c r="I423" t="inlineStr" s="0">
        <is>
          <t>Ak 2: Verkostoyhteistyön koordinoinnin ja vaikuttamistoiminnan kautta tehtävään väestön ja yksilön terveyden edistämiseen (138 371 €) | C 13799: Euroopan sosiaalirahasto plussan (ESR+) hankkeen "Matriarkka - voimavaroja ja varmuutta muutoksiin" (Dnro: EURA 2021/211135/09 02 01 01/2025/ESAELY) osarahoitukseen järjestölle (2026-2027) (17 700 €)</t>
        </is>
      </c>
    </row>
    <row r="424">
      <c r="A424" s="2">
        <v>423</v>
      </c>
      <c r="B424" s="2">
        <v>717</v>
      </c>
      <c r="C424" t="inlineStr" s="0">
        <is>
          <t>Hämeenlinnan Seudun Omaishoitajat ry</t>
        </is>
      </c>
      <c r="D424" s="2">
        <v>156000.0</v>
      </c>
      <c r="E424" s="2">
        <v>156000.0</v>
      </c>
      <c r="F424" s="2">
        <v>0.0</v>
      </c>
      <c r="G424" s="2">
        <v>100.0</v>
      </c>
      <c r="H424" s="2">
        <v>1</v>
      </c>
      <c r="I424" t="inlineStr" s="0">
        <is>
          <t>Ak 2: Omaishoitajien toimintakyvyn tukemiseen tiedottamisen, neuvonnan, vertaistoiminnan ja valmennusten avulla Hämeenlinnan seudulla (OmaisOiva) (156 000 €)</t>
        </is>
      </c>
    </row>
    <row r="425">
      <c r="A425" s="2">
        <v>424</v>
      </c>
      <c r="B425" s="2">
        <v>1524</v>
      </c>
      <c r="C425" t="inlineStr" s="0">
        <is>
          <t>Sahan-seura ry</t>
        </is>
      </c>
      <c r="D425" s="2">
        <v>156000.0</v>
      </c>
      <c r="E425" s="2">
        <v>156000.0</v>
      </c>
      <c r="F425" s="2">
        <v>0.0</v>
      </c>
      <c r="G425" s="2">
        <v>100.0</v>
      </c>
      <c r="H425" s="2">
        <v>1</v>
      </c>
      <c r="I425" t="inlineStr" s="0">
        <is>
          <t>Ak 12515: Maahanmuuttajataustaisten naisten hyvinvoinnin, osallisuuden ja toimijuuden edistämiseen matalan kynnyksen toiminnan, yksilöllisen tuen ja vertaisryhmätoiminnan avulla.  Toiminnan kohderyhmänä ovat pääasiassa yli 29-vuotiaat työttömät tai työvoiman ulkopuolella olevat maahanmuuttajataustaiset naiset (Hyvinvoivat naiset - HyNA) (156 000 €)</t>
        </is>
      </c>
    </row>
    <row r="426">
      <c r="A426" s="2">
        <v>425</v>
      </c>
      <c r="B426" s="2">
        <v>442</v>
      </c>
      <c r="C426" t="inlineStr" s="0">
        <is>
          <t>ViaDia Pirkanmaa ry</t>
        </is>
      </c>
      <c r="D426" s="2">
        <v>156000.0</v>
      </c>
      <c r="E426" s="2">
        <v>156000.0</v>
      </c>
      <c r="F426" s="2">
        <v>0.0</v>
      </c>
      <c r="G426" s="2">
        <v>100.0</v>
      </c>
      <c r="H426" s="2">
        <v>1</v>
      </c>
      <c r="I426" t="inlineStr" s="0">
        <is>
          <t>Ak 10179: Pitkäaikaisasunnottomien ja vankilasta toistuvasti asunnottomaksi vapautuvien asuttamiseen hajautetun välivuokra-asumisen kautta sekä yksilöllisen asumisen tuen kehittämiseen ja toteuttamiseen Tampereen seudulla (Kadulta Kotiin) (156 000 €)</t>
        </is>
      </c>
    </row>
    <row r="427">
      <c r="A427" s="2">
        <v>426</v>
      </c>
      <c r="B427" s="2">
        <v>1750</v>
      </c>
      <c r="C427" t="inlineStr" s="0">
        <is>
          <t>Kipinä ry</t>
        </is>
      </c>
      <c r="D427" s="2">
        <v>155839.0</v>
      </c>
      <c r="E427" s="2">
        <v>155839.0</v>
      </c>
      <c r="F427" s="2">
        <v>0.0</v>
      </c>
      <c r="G427" s="2">
        <v>100.0</v>
      </c>
      <c r="H427" s="2">
        <v>1</v>
      </c>
      <c r="I427" t="inlineStr" s="0">
        <is>
          <t>Ak 9742: Huumeita käyttävien ihmisten osallisuuden lisäämiseen sekä sisäisen motivaation ja oman elämän vaikutusmahdollisuuksien vahvistamiseen haittoja vähentävällä ja kuntouttavalla kohtaamispaikka- ja ryhmätoiminnalla sekä yksilöllisellä tuella (Mesta) (155 839 €)</t>
        </is>
      </c>
    </row>
    <row r="428">
      <c r="A428" s="2">
        <v>427</v>
      </c>
      <c r="B428" s="2">
        <v>93</v>
      </c>
      <c r="C428" t="inlineStr" s="0">
        <is>
          <t>SUOMEN NUORTEN NAISTEN KRISTILLISTEN YHDISTYSTEN LIITTO RY</t>
        </is>
      </c>
      <c r="D428" s="2">
        <v>155833.0</v>
      </c>
      <c r="E428" s="2">
        <v>155833.0</v>
      </c>
      <c r="F428" s="2">
        <v>0.0</v>
      </c>
      <c r="G428" s="2">
        <v>100.0</v>
      </c>
      <c r="H428" s="2">
        <v>1</v>
      </c>
      <c r="I428" t="inlineStr" s="0">
        <is>
          <t>Ak 3824: Murrosikäisten nuorten vanhempien vertaisuuteen perustuvan ryhmätoiminnan järjestämiseen  (Kamalat äidit) (155 833 €)</t>
        </is>
      </c>
    </row>
    <row r="429">
      <c r="A429" s="2">
        <v>428</v>
      </c>
      <c r="B429" s="2">
        <v>239</v>
      </c>
      <c r="C429" t="inlineStr" s="0">
        <is>
          <t>Etelä-Karjalan omaishoitajat ry</t>
        </is>
      </c>
      <c r="D429" s="2">
        <v>155000.0</v>
      </c>
      <c r="E429" s="2">
        <v>155000.0</v>
      </c>
      <c r="F429" s="2">
        <v>0.0</v>
      </c>
      <c r="G429" s="2">
        <v>100.0</v>
      </c>
      <c r="H429" s="2">
        <v>1</v>
      </c>
      <c r="I429" t="inlineStr" s="0">
        <is>
          <t>Ak 1369: Omaishoitajien hyvinvoinnin tukemiseen tiedottamisen, neuvonnan, vertaistoiminnan ja valmennusten avulla Etelä-Karjalan alueella (OmaisOiva) (155 000 €)</t>
        </is>
      </c>
    </row>
    <row r="430">
      <c r="A430" s="2">
        <v>429</v>
      </c>
      <c r="B430" s="2">
        <v>190</v>
      </c>
      <c r="C430" t="inlineStr" s="0">
        <is>
          <t>LÄNSI-UUDENMAAN OMAISHOITAJAT RY</t>
        </is>
      </c>
      <c r="D430" s="2">
        <v>155000.0</v>
      </c>
      <c r="E430" s="2">
        <v>155000.0</v>
      </c>
      <c r="F430" s="2">
        <v>0.0</v>
      </c>
      <c r="G430" s="2">
        <v>100.0</v>
      </c>
      <c r="H430" s="2">
        <v>1</v>
      </c>
      <c r="I430" t="inlineStr" s="0">
        <is>
          <t>Ak 2643: Omaishoitajien hyvinvoinnin ja toimintakyvyn tukemiseen tiedottamisen, neuvonnan, vertaistoiminnan ja valmennusten avulla Länsi-Uudenmaan alueella  (OmaisOiva) (155 000 €)</t>
        </is>
      </c>
    </row>
    <row r="431">
      <c r="A431" s="2">
        <v>430</v>
      </c>
      <c r="B431" s="2">
        <v>1002</v>
      </c>
      <c r="C431" t="inlineStr" s="0">
        <is>
          <t>Savonlinnan Seudun Kolomonen ry</t>
        </is>
      </c>
      <c r="D431" s="2">
        <v>155000.0</v>
      </c>
      <c r="E431" s="2">
        <v>155000.0</v>
      </c>
      <c r="F431" s="2">
        <v>0.0</v>
      </c>
      <c r="G431" s="2">
        <v>100.0</v>
      </c>
      <c r="H431" s="2">
        <v>1</v>
      </c>
      <c r="I431" t="inlineStr" s="0">
        <is>
          <t>Ak 1: Savonlinnan seudun yhdistysten vaikuttamismahdollisuuksien ja yhteistyön tukemiseen sekä OLKA-toimintamallin mukaiseen toiminnan toteuttamiseen, organisoimiseen ja kehittämiseen Savonlinnan seudulla (155 000 €)</t>
        </is>
      </c>
    </row>
    <row r="432">
      <c r="A432" s="2">
        <v>431</v>
      </c>
      <c r="B432" s="2">
        <v>1179</v>
      </c>
      <c r="C432" t="inlineStr" s="0">
        <is>
          <t>Kouvolan Hyvinvointiyhdistykset ry</t>
        </is>
      </c>
      <c r="D432" s="2">
        <v>154909.0</v>
      </c>
      <c r="E432" s="2">
        <v>109021.0</v>
      </c>
      <c r="F432" s="2">
        <v>45888.0</v>
      </c>
      <c r="G432" s="2">
        <v>70.4</v>
      </c>
      <c r="H432" s="2">
        <v>2</v>
      </c>
      <c r="I432" t="inlineStr" s="0">
        <is>
          <t>Ak 1: Kouvolan seudun vammais- ja pitkäaikaissairausjärjestöjen sekä hyvinvointialalla toimivien yhdistysten toimintaedellytysten, yhteistyön ja kehittämisen tukemiseen. Kaikille suunnatun avoimen toiminnan ja osallisuuden lisäämiseen. (109 021 €) | C 13703: Euroopan sosiaalirahasto plussan (ESR+) hankkeen "Kokemuksella Kymenlaakso" osarahoitukseen järjestölle (2025-2028) (45 888 €)</t>
        </is>
      </c>
    </row>
    <row r="433">
      <c r="A433" s="2">
        <v>432</v>
      </c>
      <c r="B433" s="2">
        <v>214</v>
      </c>
      <c r="C433" t="inlineStr" s="0">
        <is>
          <t>NÄKÖVAMMAISET LAPSET RY, SYNSKADADE BARN RF</t>
        </is>
      </c>
      <c r="D433" s="2">
        <v>154890.0</v>
      </c>
      <c r="E433" s="2">
        <v>154890.0</v>
      </c>
      <c r="F433" s="2">
        <v>0.0</v>
      </c>
      <c r="G433" s="2">
        <v>100.0</v>
      </c>
      <c r="H433" s="2">
        <v>1</v>
      </c>
      <c r="I433" t="inlineStr" s="0">
        <is>
          <t>Ak 3734: Näkövammaisten lasten ja vanhempien elämänlaadun parantamiseen vertaistuen, leiri- ja kerhotoiminnan sekä viestinnän avulla (154 890 €)</t>
        </is>
      </c>
    </row>
    <row r="434">
      <c r="A434" s="2">
        <v>433</v>
      </c>
      <c r="B434" s="2">
        <v>537</v>
      </c>
      <c r="C434" t="inlineStr" s="0">
        <is>
          <t>Mielen tukena ry</t>
        </is>
      </c>
      <c r="D434" s="2">
        <v>154883.0</v>
      </c>
      <c r="E434" s="2">
        <v>154883.0</v>
      </c>
      <c r="F434" s="2">
        <v>0.0</v>
      </c>
      <c r="G434" s="2">
        <v>100.0</v>
      </c>
      <c r="H434" s="2">
        <v>1</v>
      </c>
      <c r="I434" t="inlineStr" s="0">
        <is>
          <t>Ak 1: Mielenterveyskuntoutujien terveyttä, hyvinvointia, osallisuutta sekä työ- ja opiskeluelämään palaamista edistävään tavoitteelliseen kohtaamispaikkatoimintaan (Karvetin FH-klubitalo) (154 883 €)</t>
        </is>
      </c>
    </row>
    <row r="435">
      <c r="A435" s="2">
        <v>434</v>
      </c>
      <c r="B435" s="2">
        <v>410</v>
      </c>
      <c r="C435" t="inlineStr" s="0">
        <is>
          <t>Kympin Lapset ry</t>
        </is>
      </c>
      <c r="D435" s="2">
        <v>154350.0</v>
      </c>
      <c r="E435" s="2">
        <v>154350.0</v>
      </c>
      <c r="F435" s="2">
        <v>0.0</v>
      </c>
      <c r="G435" s="2">
        <v>100.0</v>
      </c>
      <c r="H435" s="2">
        <v>1</v>
      </c>
      <c r="I435" t="inlineStr" s="0">
        <is>
          <t>Ak 2: Syöpään tai vakaviin veritauteihin sairastuneiden lasten ja heidän perheidensä psyykkisen ja sosiaalisen hyvinvoinnin ylläpitäminen ja tukeminen ammatillisen tuen, vertaistuen ja virkistystoiminnan avulla (154 350 €)</t>
        </is>
      </c>
    </row>
    <row r="436">
      <c r="A436" s="2">
        <v>435</v>
      </c>
      <c r="B436" s="2">
        <v>944</v>
      </c>
      <c r="C436" t="inlineStr" s="0">
        <is>
          <t>Hyvis Satakunta ry</t>
        </is>
      </c>
      <c r="D436" s="2">
        <v>153043.0</v>
      </c>
      <c r="E436" s="2">
        <v>153043.0</v>
      </c>
      <c r="F436" s="2">
        <v>0.0</v>
      </c>
      <c r="G436" s="2">
        <v>100.0</v>
      </c>
      <c r="H436" s="2">
        <v>1</v>
      </c>
      <c r="I436" t="inlineStr" s="0">
        <is>
          <t>Ak 2: Mielenterveyskuntoutujien hyvinvoinnin ja osallisuuden vahvistamiseen vertais- ja vapaaehtoistoiminnoilla matalan kynnyksen kohtaamispaikassa Porissa sekä Harjavallassa ja Eurassa järjestettävissä ryhmissä (Porin Hyvän Mielen Talo) (153 043 €)</t>
        </is>
      </c>
    </row>
    <row r="437">
      <c r="A437" s="2">
        <v>436</v>
      </c>
      <c r="B437" s="2">
        <v>86</v>
      </c>
      <c r="C437" t="inlineStr" s="0">
        <is>
          <t>TUKIYHDISTYS KARVINEN RY</t>
        </is>
      </c>
      <c r="D437" s="2">
        <v>152145.0</v>
      </c>
      <c r="E437" s="2">
        <v>152145.0</v>
      </c>
      <c r="F437" s="2">
        <v>0.0</v>
      </c>
      <c r="G437" s="2">
        <v>100.0</v>
      </c>
      <c r="H437" s="2">
        <v>1</v>
      </c>
      <c r="I437" t="inlineStr" s="0">
        <is>
          <t>Ak 1: Mielenterveyskuntoutujien elämänlaadun parantamiseen kohtaamispaikka- ja vertaisryhmätoimintojen avulla Helsingissä (Karvinen) (152 145 €)</t>
        </is>
      </c>
    </row>
    <row r="438">
      <c r="A438" s="2">
        <v>437</v>
      </c>
      <c r="B438" s="2">
        <v>382</v>
      </c>
      <c r="C438" t="inlineStr" s="0">
        <is>
          <t>KRIS-SUOMEN KESKUSLIITTO RY</t>
        </is>
      </c>
      <c r="D438" s="2">
        <v>152135.0</v>
      </c>
      <c r="E438" s="2">
        <v>0.0</v>
      </c>
      <c r="F438" s="2">
        <v>152135.0</v>
      </c>
      <c r="G438" s="2">
        <v>0.0</v>
      </c>
      <c r="H438" s="2">
        <v>1</v>
      </c>
      <c r="I438" t="inlineStr" s="0">
        <is>
          <t>Ay 2: Yleisavustuksena avustuksen saajan yleishyödylliseen toimintaan (152 135 €)</t>
        </is>
      </c>
    </row>
    <row r="439">
      <c r="A439" s="2">
        <v>438</v>
      </c>
      <c r="B439" s="2">
        <v>1070</v>
      </c>
      <c r="C439" t="inlineStr" s="0">
        <is>
          <t>LAKEUDEN OMAISHOITAJAT RY</t>
        </is>
      </c>
      <c r="D439" s="2">
        <v>152000.0</v>
      </c>
      <c r="E439" s="2">
        <v>152000.0</v>
      </c>
      <c r="F439" s="2">
        <v>0.0</v>
      </c>
      <c r="G439" s="2">
        <v>100.0</v>
      </c>
      <c r="H439" s="2">
        <v>1</v>
      </c>
      <c r="I439" t="inlineStr" s="0">
        <is>
          <t>Ak 2993: Omaishoitajien toimintakyvyn tukemiseen tiedottamisen, neuvonnan, vertaistoiminnan ja valmennusten avulla Etelä-Pohjanmaalla (OmaisOiva) (152 000 €)</t>
        </is>
      </c>
    </row>
    <row r="440">
      <c r="A440" s="2">
        <v>439</v>
      </c>
      <c r="B440" s="2">
        <v>388</v>
      </c>
      <c r="C440" t="inlineStr" s="0">
        <is>
          <t>Suomen Sjögrenliitto ry</t>
        </is>
      </c>
      <c r="D440" s="2">
        <v>152000.0</v>
      </c>
      <c r="E440" s="2">
        <v>152000.0</v>
      </c>
      <c r="F440" s="2">
        <v>0.0</v>
      </c>
      <c r="G440" s="2">
        <v>100.0</v>
      </c>
      <c r="H440" s="2">
        <v>1</v>
      </c>
      <c r="I440" t="inlineStr" s="0">
        <is>
          <t>Ak 5: Sjögrenin oireyhtymän neuvontapalveluihin sekä vapaaehtois- ja vertaistoiminnan koordinointiin (152 000 €)</t>
        </is>
      </c>
    </row>
    <row r="441">
      <c r="A441" s="2">
        <v>440</v>
      </c>
      <c r="B441" s="2">
        <v>576</v>
      </c>
      <c r="C441" t="inlineStr" s="0">
        <is>
          <t>Pohjois-Savon Omaishoitajat ry</t>
        </is>
      </c>
      <c r="D441" s="2">
        <v>151200.0</v>
      </c>
      <c r="E441" s="2">
        <v>151200.0</v>
      </c>
      <c r="F441" s="2">
        <v>0.0</v>
      </c>
      <c r="G441" s="2">
        <v>100.0</v>
      </c>
      <c r="H441" s="2">
        <v>1</v>
      </c>
      <c r="I441" t="inlineStr" s="0">
        <is>
          <t>Ak 1: Omaishoitajien toimintakyvyn tukemiseen tiedottamisen, neuvonnan, vertaistoiminnan ja valmennusten avulla Pohjois-Savossa (OmaisOiva) (151 200 €)</t>
        </is>
      </c>
    </row>
    <row r="442">
      <c r="A442" s="2">
        <v>441</v>
      </c>
      <c r="B442" s="2">
        <v>1108</v>
      </c>
      <c r="C442" t="inlineStr" s="0">
        <is>
          <t>USKONTOJEN UHRIEN TUKI RY</t>
        </is>
      </c>
      <c r="D442" s="2">
        <v>151043.0</v>
      </c>
      <c r="E442" s="2">
        <v>151043.0</v>
      </c>
      <c r="F442" s="2">
        <v>0.0</v>
      </c>
      <c r="G442" s="2">
        <v>100.0</v>
      </c>
      <c r="H442" s="2">
        <v>1</v>
      </c>
      <c r="I442" t="inlineStr" s="0">
        <is>
          <t>Ak 3: Hengellisen väkivallan uhrien tukemiseen ja hengellisen väkivallan ehkäisemiseen vertaistuen ja vapaaehtoistoiminnan sekä tiedotus- ja vaikuttamistoiminnan keinoin (151 043 €)</t>
        </is>
      </c>
    </row>
    <row r="443">
      <c r="A443" s="2">
        <v>442</v>
      </c>
      <c r="B443" s="2">
        <v>387</v>
      </c>
      <c r="C443" t="inlineStr" s="0">
        <is>
          <t>Varsinais-Suomen Vammais- ja Pitkäaikaissairausjärjestöt VAPI ry</t>
        </is>
      </c>
      <c r="D443" s="2">
        <v>150394.0</v>
      </c>
      <c r="E443" s="2">
        <v>150394.0</v>
      </c>
      <c r="F443" s="2">
        <v>0.0</v>
      </c>
      <c r="G443" s="2">
        <v>100.0</v>
      </c>
      <c r="H443" s="2">
        <v>1</v>
      </c>
      <c r="I443" t="inlineStr" s="0">
        <is>
          <t>Ak 1: Vammaisten ja pitkäaikaissairaiden henkilöiden osallisuuden lisäämiseen. Yhteisöllisen vertaistuen edistämiseen sekä jäsenyhdistysten toimintaedellytysten ja alueellisen toiminnan vahvistamiseen (150 394 €)</t>
        </is>
      </c>
    </row>
    <row r="444">
      <c r="A444" s="2">
        <v>443</v>
      </c>
      <c r="B444" s="2">
        <v>424</v>
      </c>
      <c r="C444" t="inlineStr" s="0">
        <is>
          <t>SEINÄJOEN SEUDUN KEHITYSVAMMAISTEN TUKI RY</t>
        </is>
      </c>
      <c r="D444" s="2">
        <v>150000.0</v>
      </c>
      <c r="E444" s="2">
        <v>150000.0</v>
      </c>
      <c r="F444" s="2">
        <v>0.0</v>
      </c>
      <c r="G444" s="2">
        <v>100.0</v>
      </c>
      <c r="H444" s="2">
        <v>1</v>
      </c>
      <c r="I444" t="inlineStr" s="0">
        <is>
          <t>Ak 1: Kehitysvammaisten ihmisten sosiaalisten kontaktien ja tasavertaisen vapaa-ajan palveluihin osallistumisen edistämiseen Ystävänkortti-toiminnan ja vapaaehtoisten ystävien kouluttamisen avulla (150 000 €)</t>
        </is>
      </c>
    </row>
    <row r="445">
      <c r="A445" s="2">
        <v>444</v>
      </c>
      <c r="B445" s="2">
        <v>2297</v>
      </c>
      <c r="C445" t="inlineStr" s="0">
        <is>
          <t>Silmut ry</t>
        </is>
      </c>
      <c r="D445" s="2">
        <v>150000.0</v>
      </c>
      <c r="E445" s="2">
        <v>0.0</v>
      </c>
      <c r="F445" s="2">
        <v>150000.0</v>
      </c>
      <c r="G445" s="2">
        <v>0.0</v>
      </c>
      <c r="H445" s="2">
        <v>1</v>
      </c>
      <c r="I445" t="inlineStr" s="0">
        <is>
          <t>C 13687: Euroopan sosiaalirahasto plussan (ESR+) hankkeen "Mielivoima" (210201) osarahoitukseen järjestölle (2026-2028) (150 000 €)</t>
        </is>
      </c>
    </row>
    <row r="446">
      <c r="A446" s="2">
        <v>445</v>
      </c>
      <c r="B446" s="2">
        <v>968</v>
      </c>
      <c r="C446" t="inlineStr" s="0">
        <is>
          <t>ÄÄNESEUDUN ILONA RY</t>
        </is>
      </c>
      <c r="D446" s="2">
        <v>150000.0</v>
      </c>
      <c r="E446" s="2">
        <v>150000.0</v>
      </c>
      <c r="F446" s="2">
        <v>0.0</v>
      </c>
      <c r="G446" s="2">
        <v>100.0</v>
      </c>
      <c r="H446" s="2">
        <v>1</v>
      </c>
      <c r="I446" t="inlineStr" s="0">
        <is>
          <t>Ak 1: Mielenterveyskuntoutujien ja syrjäytymisuhan alla olevien henkilöiden osallisuuden ja hyvinvoinnin vahvistamiseen kohtaamispaikan vertais-, ja vapaaehtoistoiminnalla, ryhmätoiminnoilla sekä palveluneuvonnalla ja -ohjauksella Äänekosken seudulla (150 000 €)</t>
        </is>
      </c>
    </row>
    <row r="447">
      <c r="A447" s="2">
        <v>446</v>
      </c>
      <c r="B447" s="2">
        <v>1848</v>
      </c>
      <c r="C447" t="inlineStr" s="0">
        <is>
          <t>Rusetti - Vammaisten naisten valtakunnallinen yhdistys</t>
        </is>
      </c>
      <c r="D447" s="2">
        <v>149100.0</v>
      </c>
      <c r="E447" s="2">
        <v>149100.0</v>
      </c>
      <c r="F447" s="2">
        <v>0.0</v>
      </c>
      <c r="G447" s="2">
        <v>100.0</v>
      </c>
      <c r="H447" s="2">
        <v>1</v>
      </c>
      <c r="I447" t="inlineStr" s="0">
        <is>
          <t>Ak 10866: Vammaisten naisten ja tyttöjen yhteiskunnallisen osallisuuden ja voimaantumisen edistämiseen vertaistuen, johtajuuskoulutuksen, mentoroinnin ja ammattilaisten osaamisen lisäämisen keinoin - Vammaisten naisten äitiyden ja vanhemmuuden tukemiseen  - Turva- ja itsepuolustustaitojen opettamiseen (149 100 €)</t>
        </is>
      </c>
    </row>
    <row r="448">
      <c r="A448" s="2">
        <v>447</v>
      </c>
      <c r="B448" s="2">
        <v>1918</v>
      </c>
      <c r="C448" t="inlineStr" s="0">
        <is>
          <t>Hilman Järjestöt ry</t>
        </is>
      </c>
      <c r="D448" s="2">
        <v>149000.0</v>
      </c>
      <c r="E448" s="2">
        <v>149000.0</v>
      </c>
      <c r="F448" s="2">
        <v>0.0</v>
      </c>
      <c r="G448" s="2">
        <v>100.0</v>
      </c>
      <c r="H448" s="2">
        <v>1</v>
      </c>
      <c r="I448" t="inlineStr" s="0">
        <is>
          <t>Ak 7821: Järjestöjen toiminnan kehittämiseen, yhteistyön koordinointiin sekä osallisuutta lisäävään kohtaamispaikkatoimintaan (Kumppanuustalo Hilma) (149 000 €)</t>
        </is>
      </c>
    </row>
    <row r="449">
      <c r="A449" s="2">
        <v>448</v>
      </c>
      <c r="B449" s="2">
        <v>882</v>
      </c>
      <c r="C449" t="inlineStr" s="0">
        <is>
          <t>Tunne rintasi ry</t>
        </is>
      </c>
      <c r="D449" s="2">
        <v>149000.0</v>
      </c>
      <c r="E449" s="2">
        <v>149000.0</v>
      </c>
      <c r="F449" s="2">
        <v>0.0</v>
      </c>
      <c r="G449" s="2">
        <v>100.0</v>
      </c>
      <c r="H449" s="2">
        <v>1</v>
      </c>
      <c r="I449" t="inlineStr" s="0">
        <is>
          <t>Ak 2: Rintaterveyttä sekä rintasyövän varhaistoteamista edistävään tiedotus-, opastus- ja koulutustoimintaan verkostomaisen järjestötyön avulla (149 000 €)</t>
        </is>
      </c>
    </row>
    <row r="450">
      <c r="A450" s="2">
        <v>449</v>
      </c>
      <c r="B450" s="2">
        <v>210</v>
      </c>
      <c r="C450" t="inlineStr" s="0">
        <is>
          <t>KRIS-Etelä-Pohjanmaa ry</t>
        </is>
      </c>
      <c r="D450" s="2">
        <v>148250.0</v>
      </c>
      <c r="E450" s="2">
        <v>148250.0</v>
      </c>
      <c r="F450" s="2">
        <v>0.0</v>
      </c>
      <c r="G450" s="2">
        <v>100.0</v>
      </c>
      <c r="H450" s="2">
        <v>1</v>
      </c>
      <c r="I450" t="inlineStr" s="0">
        <is>
          <t>Ak 1: Rikos- ja päihdetaustaisten yhteiskuntaan kiinnittymisen edistämiseen ja osallisuuden lisäämiseen toimintakeskustyön, vertaistoiminnan ja vankilatyön kautta (148 250 €)</t>
        </is>
      </c>
    </row>
    <row r="451">
      <c r="A451" s="2">
        <v>450</v>
      </c>
      <c r="B451" s="2">
        <v>531</v>
      </c>
      <c r="C451" t="inlineStr" s="0">
        <is>
          <t>SUOMEN TOURETTE- JA OCD-YHDISTYS RY, FINLANDS TOURETTE- OCH OCD-FÖRENING RF</t>
        </is>
      </c>
      <c r="D451" s="2">
        <v>146633.0</v>
      </c>
      <c r="E451" s="2">
        <v>146633.0</v>
      </c>
      <c r="F451" s="2">
        <v>0.0</v>
      </c>
      <c r="G451" s="2">
        <v>100.0</v>
      </c>
      <c r="H451" s="2">
        <v>1</v>
      </c>
      <c r="I451" t="inlineStr" s="0">
        <is>
          <t>Ak 3: Järjestölähtöiseen ohjaus- ja neuvontatyöhön, koulutuksellisiin vertaistapahtumiin ja -kursseihin sekä leireihin. Kohderyhminä Tourettea ja OCD:ta sairastavat sekä heidän läheisensä. (146 633 €)</t>
        </is>
      </c>
    </row>
    <row r="452">
      <c r="A452" s="2">
        <v>451</v>
      </c>
      <c r="B452" s="2">
        <v>658</v>
      </c>
      <c r="C452" t="inlineStr" s="0">
        <is>
          <t>INKERIKESKUS RY</t>
        </is>
      </c>
      <c r="D452" s="2">
        <v>146000.0</v>
      </c>
      <c r="E452" s="2">
        <v>146000.0</v>
      </c>
      <c r="F452" s="2">
        <v>0.0</v>
      </c>
      <c r="G452" s="2">
        <v>100.0</v>
      </c>
      <c r="H452" s="2">
        <v>1</v>
      </c>
      <c r="I452" t="inlineStr" s="0">
        <is>
          <t>Ak 1: Ikääntyneiden ja erityistä tukea tarvitsevien inkerinsuomalaisten ja viron- ja venäjänkielisten syrjäytymisen ehkäisemiseen sekä toimintakyvyn ja hyvinvoinnin lisäämiseen neuvonnan ja vertaisryhmätoiminnan sekä vapaaehtoisuuteen pohjautuvan tukihenkilötoiminnan avulla (146 000 €)</t>
        </is>
      </c>
    </row>
    <row r="453">
      <c r="A453" s="2">
        <v>452</v>
      </c>
      <c r="B453" s="2">
        <v>501</v>
      </c>
      <c r="C453" t="inlineStr" s="0">
        <is>
          <t>VARKAUDEN SEUDUN OMAISHOITAJAT RY</t>
        </is>
      </c>
      <c r="D453" s="2">
        <v>145866.0</v>
      </c>
      <c r="E453" s="2">
        <v>145866.0</v>
      </c>
      <c r="F453" s="2">
        <v>0.0</v>
      </c>
      <c r="G453" s="2">
        <v>100.0</v>
      </c>
      <c r="H453" s="2">
        <v>1</v>
      </c>
      <c r="I453" t="inlineStr" s="0">
        <is>
          <t>Ak 1: Omaishoitajien toimintakyvyn tukemiseen tiedottamisen, neuvonnan, vertaistoiminnan ja valmennusten avulla Varkauden seudulla (OmaisOiva) (145 866 €)</t>
        </is>
      </c>
    </row>
    <row r="454">
      <c r="A454" s="2">
        <v>453</v>
      </c>
      <c r="B454" s="2">
        <v>1050</v>
      </c>
      <c r="C454" t="inlineStr" s="0">
        <is>
          <t>KESKI-SUOMEN NÄKÖVAMMAISET RY</t>
        </is>
      </c>
      <c r="D454" s="2">
        <v>145000.0</v>
      </c>
      <c r="E454" s="2">
        <v>145000.0</v>
      </c>
      <c r="F454" s="2">
        <v>0.0</v>
      </c>
      <c r="G454" s="2">
        <v>100.0</v>
      </c>
      <c r="H454" s="2">
        <v>1</v>
      </c>
      <c r="I454" t="inlineStr" s="0">
        <is>
          <t>Ak 1644: Näkövammaisten itsenäisen elämän tukemiseen ja osallisuuden edistämiseen vertaistuen, ryhmätoiminnan, saavutettavan tiedon ja digituen avulla Keski-Suomessa (145 000 €)</t>
        </is>
      </c>
    </row>
    <row r="455">
      <c r="A455" s="2">
        <v>454</v>
      </c>
      <c r="B455" s="2">
        <v>1699</v>
      </c>
      <c r="C455" t="inlineStr" s="0">
        <is>
          <t>Suomen Kielipolku SLI ry</t>
        </is>
      </c>
      <c r="D455" s="2">
        <v>145000.0</v>
      </c>
      <c r="E455" s="2">
        <v>145000.0</v>
      </c>
      <c r="F455" s="2">
        <v>0.0</v>
      </c>
      <c r="G455" s="2">
        <v>100.0</v>
      </c>
      <c r="H455" s="2">
        <v>1</v>
      </c>
      <c r="I455" t="inlineStr" s="0">
        <is>
          <t>Ak 12120: Kehityksellinen kielihäiriöoireisten ja heidän läheistensä osallisuuden, hyvinvoinnin ja voimavarojen vahvistamiseen vertaistukitoiminnan, neuvonnan ja vaikuttamistoiminnan keinoin (2024-2026) (145 000 €)</t>
        </is>
      </c>
    </row>
    <row r="456">
      <c r="A456" s="2">
        <v>455</v>
      </c>
      <c r="B456" s="2">
        <v>886</v>
      </c>
      <c r="C456" t="inlineStr" s="0">
        <is>
          <t>SUOMEN PELASTUSARMEIJAN SÄÄTIÖ</t>
        </is>
      </c>
      <c r="D456" s="2">
        <v>145000.0</v>
      </c>
      <c r="E456" s="2">
        <v>145000.0</v>
      </c>
      <c r="F456" s="2">
        <v>0.0</v>
      </c>
      <c r="G456" s="2">
        <v>100.0</v>
      </c>
      <c r="H456" s="2">
        <v>1</v>
      </c>
      <c r="I456" t="inlineStr" s="0">
        <is>
          <t>Ak 2: Erityistä tukea tarvitsevien perheiden lasten sosiaalisia taitoja ja itsetuntoa edistävään virikkeelliseen lomatoimintaan (145 000 €)</t>
        </is>
      </c>
    </row>
    <row r="457">
      <c r="A457" s="2">
        <v>456</v>
      </c>
      <c r="B457" s="2">
        <v>415</v>
      </c>
      <c r="C457" t="inlineStr" s="0">
        <is>
          <t>Kokkolanseudun omaishoitajat ry</t>
        </is>
      </c>
      <c r="D457" s="2">
        <v>143325.0</v>
      </c>
      <c r="E457" s="2">
        <v>143325.0</v>
      </c>
      <c r="F457" s="2">
        <v>0.0</v>
      </c>
      <c r="G457" s="2">
        <v>100.0</v>
      </c>
      <c r="H457" s="2">
        <v>1</v>
      </c>
      <c r="I457" t="inlineStr" s="0">
        <is>
          <t>Ak 1495: Omaishoitajien toimintakyvyn tukemiseen tiedottamisen, neuvonnan, vertaistoiminnan ja valmennusten avulla Kokkolan seudulla (OmaisOiva) (143 325 €)</t>
        </is>
      </c>
    </row>
    <row r="458">
      <c r="A458" s="2">
        <v>457</v>
      </c>
      <c r="B458" s="2">
        <v>155</v>
      </c>
      <c r="C458" t="inlineStr" s="0">
        <is>
          <t>KAINUUN OMAISHOITAJAT JA LÄHEISET RY</t>
        </is>
      </c>
      <c r="D458" s="2">
        <v>142800.0</v>
      </c>
      <c r="E458" s="2">
        <v>142800.0</v>
      </c>
      <c r="F458" s="2">
        <v>0.0</v>
      </c>
      <c r="G458" s="2">
        <v>100.0</v>
      </c>
      <c r="H458" s="2">
        <v>1</v>
      </c>
      <c r="I458" t="inlineStr" s="0">
        <is>
          <t>Ak 1: Omaishoitajien toimintakyvyn tukemiseen tiedottamisen, neuvonnan, vertaistoiminnan ja valmennusten avulla Kainuun alueella (OmaisOiva) (142 800 €)</t>
        </is>
      </c>
    </row>
    <row r="459">
      <c r="A459" s="2">
        <v>458</v>
      </c>
      <c r="B459" s="2">
        <v>475</v>
      </c>
      <c r="C459" t="inlineStr" s="0">
        <is>
          <t>Pieksämäen Omaishoitajat ry</t>
        </is>
      </c>
      <c r="D459" s="2">
        <v>142800.0</v>
      </c>
      <c r="E459" s="2">
        <v>142800.0</v>
      </c>
      <c r="F459" s="2">
        <v>0.0</v>
      </c>
      <c r="G459" s="2">
        <v>100.0</v>
      </c>
      <c r="H459" s="2">
        <v>1</v>
      </c>
      <c r="I459" t="inlineStr" s="0">
        <is>
          <t>Ak 1267: Omaishoitajien toimintakyvyn tukemiseen tiedottamisen, neuvonnan, vertaistoiminnan ja valmennusten avulla Pieksämäen ja Savonlinnan seudulla (OmaisOiva) (142 800 €)</t>
        </is>
      </c>
    </row>
    <row r="460">
      <c r="A460" s="2">
        <v>459</v>
      </c>
      <c r="B460" s="2">
        <v>434</v>
      </c>
      <c r="C460" t="inlineStr" s="0">
        <is>
          <t>KUUSAMON MIELENTERVEYDEN TUKI RY</t>
        </is>
      </c>
      <c r="D460" s="2">
        <v>142039.0</v>
      </c>
      <c r="E460" s="2">
        <v>142039.0</v>
      </c>
      <c r="F460" s="2">
        <v>0.0</v>
      </c>
      <c r="G460" s="2">
        <v>100.0</v>
      </c>
      <c r="H460" s="2">
        <v>1</v>
      </c>
      <c r="I460" t="inlineStr" s="0">
        <is>
          <t>Ak 1: Mielenterveys- ja päihdekuntoutujien ja heidän läheistensä elämänhallintataitojen sekä yhteisöllisyyden lisäämiseen matalan kynnyksen kohtaamispaikkatoiminnan ja erilaisten ryhmien avulla (Kuusamon Hyvän mielen asema) (142 039 €)</t>
        </is>
      </c>
    </row>
    <row r="461">
      <c r="A461" s="2">
        <v>460</v>
      </c>
      <c r="B461" s="2">
        <v>466</v>
      </c>
      <c r="C461" t="inlineStr" s="0">
        <is>
          <t>Paremmin Yhdessä ry</t>
        </is>
      </c>
      <c r="D461" s="2">
        <v>142000.0</v>
      </c>
      <c r="E461" s="2">
        <v>142000.0</v>
      </c>
      <c r="F461" s="2">
        <v>0.0</v>
      </c>
      <c r="G461" s="2">
        <v>100.0</v>
      </c>
      <c r="H461" s="2">
        <v>1</v>
      </c>
      <c r="I461" t="inlineStr" s="0">
        <is>
          <t>Ak 9835: Maahan muuttaneiden osallisuuden ja toimijuuden sekä kaksisuuntaisen kotoutumisen vahvistamiseen yksilöllisen tuen, koulutusten, ryhmä- ja vapaaehtoistoiminnan sekä verkostotyön avulla (2026) (142 000 €)</t>
        </is>
      </c>
    </row>
    <row r="462">
      <c r="A462" s="2">
        <v>461</v>
      </c>
      <c r="B462" s="2">
        <v>76</v>
      </c>
      <c r="C462" t="inlineStr" s="0">
        <is>
          <t>ALVI RY</t>
        </is>
      </c>
      <c r="D462" s="2">
        <v>141750.0</v>
      </c>
      <c r="E462" s="2">
        <v>141750.0</v>
      </c>
      <c r="F462" s="2">
        <v>0.0</v>
      </c>
      <c r="G462" s="2">
        <v>100.0</v>
      </c>
      <c r="H462" s="2">
        <v>1</v>
      </c>
      <c r="I462" t="inlineStr" s="0">
        <is>
          <t>Ak 3: Mielenterveystoipujien hyvinvoinnin ja osallisuuden vahvistamiseen vertais- ja vapaaehtoispainotteisilla ryhmätoiminnoilla sekä ilta-aikaan painottuvalla matalan kynnyksen kohtaamispaikkatoiminnalla Helsingissä (Tukiyhteisö Laturi) (141 750 €)</t>
        </is>
      </c>
    </row>
    <row r="463">
      <c r="A463" s="2">
        <v>462</v>
      </c>
      <c r="B463" s="2">
        <v>978</v>
      </c>
      <c r="C463" t="inlineStr" s="0">
        <is>
          <t>MONIKKO RY</t>
        </is>
      </c>
      <c r="D463" s="2">
        <v>141750.0</v>
      </c>
      <c r="E463" s="2">
        <v>141750.0</v>
      </c>
      <c r="F463" s="2">
        <v>0.0</v>
      </c>
      <c r="G463" s="2">
        <v>100.0</v>
      </c>
      <c r="H463" s="2">
        <v>1</v>
      </c>
      <c r="I463" t="inlineStr" s="0">
        <is>
          <t>Ak 1803: Ikääntyvien maahanmuuttajien syrjäytymisen ehkäisemiseen ja hyvinvoinnin lisäämiseen sekä kaksisuuntaisen kotoutumisen edistämiseen neuvonnalla, ryhmä- ja vapaaehtoistoiminnalla, tapahtumilla sekä verkostotyöllä Keski-Suomessa (141 750 €)</t>
        </is>
      </c>
    </row>
    <row r="464">
      <c r="A464" s="2">
        <v>463</v>
      </c>
      <c r="B464" s="2">
        <v>846</v>
      </c>
      <c r="C464" t="inlineStr" s="0">
        <is>
          <t>SENIORIEN ATK-YHDISTYS SAVONETTI RY</t>
        </is>
      </c>
      <c r="D464" s="2">
        <v>141671.0</v>
      </c>
      <c r="E464" s="2">
        <v>141671.0</v>
      </c>
      <c r="F464" s="2">
        <v>0.0</v>
      </c>
      <c r="G464" s="2">
        <v>100.0</v>
      </c>
      <c r="H464" s="2">
        <v>1</v>
      </c>
      <c r="I464" t="inlineStr" s="0">
        <is>
          <t>Ak 1: Ikäihmisten osallisuuden lisäämiseen ja digitaitojen kehittämiseen ja ylläpitämiseen vertaisohjauksen avulla Pohjois-Savon alueella (141 671 €)</t>
        </is>
      </c>
    </row>
    <row r="465">
      <c r="A465" s="2">
        <v>464</v>
      </c>
      <c r="B465" s="2">
        <v>2277</v>
      </c>
      <c r="C465" t="inlineStr" s="0">
        <is>
          <t>Kumppanuustalo Nuotta ry</t>
        </is>
      </c>
      <c r="D465" s="2">
        <v>141400.0</v>
      </c>
      <c r="E465" s="2">
        <v>141400.0</v>
      </c>
      <c r="F465" s="2">
        <v>0.0</v>
      </c>
      <c r="G465" s="2">
        <v>100.0</v>
      </c>
      <c r="H465" s="2">
        <v>1</v>
      </c>
      <c r="I465" t="inlineStr" s="0">
        <is>
          <t>Ak 11504: Kumppanuustalo Nuotan toiminnan ylläpitämiseen, sosiaali- ja terveysalan järjestöjen toiminnan koordinointiin, tukemiseen ja yhteistyöhön sekä alueellisen vapaaehtoistoiminnan tukemiseen ja koordinointiin Kuusamossa, Posiolla ja Taivalkoskella (Kumppanuustalo Nuotta) (141 400 €)</t>
        </is>
      </c>
    </row>
    <row r="466">
      <c r="A466" s="2">
        <v>465</v>
      </c>
      <c r="B466" s="2">
        <v>385</v>
      </c>
      <c r="C466" t="inlineStr" s="0">
        <is>
          <t>KESKI-SUOMEN MIELENTERVEYSOMAISET - FINFAMI RY</t>
        </is>
      </c>
      <c r="D466" s="2">
        <v>141348.0</v>
      </c>
      <c r="E466" s="2">
        <v>141348.0</v>
      </c>
      <c r="F466" s="2">
        <v>0.0</v>
      </c>
      <c r="G466" s="2">
        <v>100.0</v>
      </c>
      <c r="H466" s="2">
        <v>1</v>
      </c>
      <c r="I466" t="inlineStr" s="0">
        <is>
          <t>Ak 3: Mielenterveysomaisten osallisuuden ja toimintakyvyn vahvistamiseen henkilökohtaisen tuen ja neuvonnan, vertaistuen ja muun ryhmätoiminnan sekä vapaaehtoistyön koordinaation ja yhteiskunnallisen vaikuttamisen avulla Keski-Suomen alueella (141 348 €)</t>
        </is>
      </c>
    </row>
    <row r="467">
      <c r="A467" s="2">
        <v>466</v>
      </c>
      <c r="B467" s="2">
        <v>849</v>
      </c>
      <c r="C467" t="inlineStr" s="0">
        <is>
          <t>Osallisuuden aika ry</t>
        </is>
      </c>
      <c r="D467" s="2">
        <v>141112.0</v>
      </c>
      <c r="E467" s="2">
        <v>141112.0</v>
      </c>
      <c r="F467" s="2">
        <v>0.0</v>
      </c>
      <c r="G467" s="2">
        <v>100.0</v>
      </c>
      <c r="H467" s="2">
        <v>1</v>
      </c>
      <c r="I467" t="inlineStr" s="0">
        <is>
          <t>Ak 7502: Lasten ja nuorten osallisuuden ja toimijuuden vahvistamiseen lastensuojelun palveluiden piirissä yhteistoiminnallisen työskentelyn avulla (Osallisuuden aika – Lapset, nuoret ja ammattilaiset yhteistoiminnallisina kumppaneina) (141 112 €)</t>
        </is>
      </c>
    </row>
    <row r="468">
      <c r="A468" s="2">
        <v>467</v>
      </c>
      <c r="B468" s="2">
        <v>111</v>
      </c>
      <c r="C468" t="inlineStr" s="0">
        <is>
          <t>Salon omaishoitajat ry</t>
        </is>
      </c>
      <c r="D468" s="2">
        <v>140700.0</v>
      </c>
      <c r="E468" s="2">
        <v>140700.0</v>
      </c>
      <c r="F468" s="2">
        <v>0.0</v>
      </c>
      <c r="G468" s="2">
        <v>100.0</v>
      </c>
      <c r="H468" s="2">
        <v>1</v>
      </c>
      <c r="I468" t="inlineStr" s="0">
        <is>
          <t>Ak 1841: Omaishoitajien toimintakyvyn tukemiseen tiedottamisen, neuvonnan, vertaistoiminnan ja hyvinvointikurssien avulla Salossa ja Somerolla (OmaisOiva) (140 700 €)</t>
        </is>
      </c>
    </row>
    <row r="469">
      <c r="A469" s="2">
        <v>468</v>
      </c>
      <c r="B469" s="2">
        <v>156</v>
      </c>
      <c r="C469" t="inlineStr" s="0">
        <is>
          <t>HELSINGIN NUORTEN NAISTEN KRISTILLINEN YHDISTYS RY</t>
        </is>
      </c>
      <c r="D469" s="2">
        <v>140000.0</v>
      </c>
      <c r="E469" s="2">
        <v>140000.0</v>
      </c>
      <c r="F469" s="2">
        <v>0.0</v>
      </c>
      <c r="G469" s="2">
        <v>100.0</v>
      </c>
      <c r="H469" s="2">
        <v>1</v>
      </c>
      <c r="I469" t="inlineStr" s="0">
        <is>
          <t>Ak 4241: Vuosaaren alueella asuvien 12-20-vuotiaiden syrjäytymisvaarassa olevien ujojen, yksinäisten ja monikulttuuristen ja sateenkaarityttöjen itsetunnon, vertaissuhteiden ja osallisuuden tukemiseen turvallisen tilan toimintamallilla  (Vuosaaren / Itä-Helsingin tytöt -toiminta) (140 000 €)</t>
        </is>
      </c>
    </row>
    <row r="470">
      <c r="A470" s="2">
        <v>469</v>
      </c>
      <c r="B470" s="2">
        <v>21</v>
      </c>
      <c r="C470" t="inlineStr" s="0">
        <is>
          <t>Narsismin uhrien tuki ry</t>
        </is>
      </c>
      <c r="D470" s="2">
        <v>140000.0</v>
      </c>
      <c r="E470" s="2">
        <v>140000.0</v>
      </c>
      <c r="F470" s="2">
        <v>0.0</v>
      </c>
      <c r="G470" s="2">
        <v>100.0</v>
      </c>
      <c r="H470" s="2">
        <v>1</v>
      </c>
      <c r="I470" t="inlineStr" s="0">
        <is>
          <t>Ak 2: Narsistien uhrien selviytymisen tukemiseen vertaistuen, tukihenkilötoiminnan, puhelinneuvonnan, verkostoitumisen sekä tiedotus- ja koulutustoiminnan avulla (140 000 €)</t>
        </is>
      </c>
    </row>
    <row r="471">
      <c r="A471" s="2">
        <v>470</v>
      </c>
      <c r="B471" s="2">
        <v>364</v>
      </c>
      <c r="C471" t="inlineStr" s="0">
        <is>
          <t>Warkauden seudun sosiaali- ja terveysjärjestöt ry</t>
        </is>
      </c>
      <c r="D471" s="2">
        <v>140000.0</v>
      </c>
      <c r="E471" s="2">
        <v>140000.0</v>
      </c>
      <c r="F471" s="2">
        <v>0.0</v>
      </c>
      <c r="G471" s="2">
        <v>100.0</v>
      </c>
      <c r="H471" s="2">
        <v>1</v>
      </c>
      <c r="I471" t="inlineStr" s="0">
        <is>
          <t>Ak 1: Sosiaali- ja terveysyhdistysten yhteistyön edistämiseen Varkauden alueella, järjestöjen toiminnan ja vapaaehtoistyön kehittämiseen sekä Varkauden järjestötalon toiminnan toteuttamiseen (140 000 €)</t>
        </is>
      </c>
    </row>
    <row r="472">
      <c r="A472" s="2">
        <v>471</v>
      </c>
      <c r="B472" s="2">
        <v>1737</v>
      </c>
      <c r="C472" t="inlineStr" s="0">
        <is>
          <t>Länsi-Suomen Romanit ry</t>
        </is>
      </c>
      <c r="D472" s="2">
        <v>137970.0</v>
      </c>
      <c r="E472" s="2">
        <v>137970.0</v>
      </c>
      <c r="F472" s="2">
        <v>0.0</v>
      </c>
      <c r="G472" s="2">
        <v>100.0</v>
      </c>
      <c r="H472" s="2">
        <v>1</v>
      </c>
      <c r="I472" t="inlineStr" s="0">
        <is>
          <t>Ak 9977: Romaninuorten arjen hallinnan, opiskeluvalmiuksien ja yhteiskuntaan kiinnittymisen edistämiseen yksilöllisen tukitoiminnan, ryhmätoiminnan, perhekohtaisen tuen, tapahtumien sekä alueellisen verkosto- ja vaikuttamistyön avulla. (137 970 €)</t>
        </is>
      </c>
    </row>
    <row r="473">
      <c r="A473" s="2">
        <v>472</v>
      </c>
      <c r="B473" s="2">
        <v>521</v>
      </c>
      <c r="C473" t="inlineStr" s="0">
        <is>
          <t>JOEN SEVERI RY</t>
        </is>
      </c>
      <c r="D473" s="2">
        <v>137842.0</v>
      </c>
      <c r="E473" s="2">
        <v>137842.0</v>
      </c>
      <c r="F473" s="2">
        <v>0.0</v>
      </c>
      <c r="G473" s="2">
        <v>100.0</v>
      </c>
      <c r="H473" s="2">
        <v>1</v>
      </c>
      <c r="I473" t="inlineStr" s="0">
        <is>
          <t>Ak 1: Ikäihmisten osallisuuden lisäämiseen ja tietotekniikkataitojen edistämiseen vertaisopastuksen avulla Pohjois-Karjalan alueella (137 842 €)</t>
        </is>
      </c>
    </row>
    <row r="474">
      <c r="A474" s="2">
        <v>473</v>
      </c>
      <c r="B474" s="2">
        <v>755</v>
      </c>
      <c r="C474" t="inlineStr" s="0">
        <is>
          <t>Hengitystuki ry, Andningsstöd rf</t>
        </is>
      </c>
      <c r="D474" s="2">
        <v>137000.0</v>
      </c>
      <c r="E474" s="2">
        <v>137000.0</v>
      </c>
      <c r="F474" s="2">
        <v>0.0</v>
      </c>
      <c r="G474" s="2">
        <v>100.0</v>
      </c>
      <c r="H474" s="2">
        <v>1</v>
      </c>
      <c r="I474" t="inlineStr" s="0">
        <is>
          <t>Ak 2: Elämää ylläpitävää hengityslaitetta käyttävien ihmisten itsenäisen elämän tukemiseen vaikuttamistyön, tiedon, neuvonnan ja vertaistuen avulla (137 000 €)</t>
        </is>
      </c>
    </row>
    <row r="475">
      <c r="A475" s="2">
        <v>474</v>
      </c>
      <c r="B475" s="2">
        <v>293</v>
      </c>
      <c r="C475" t="inlineStr" s="0">
        <is>
          <t>HARSO ry</t>
        </is>
      </c>
      <c r="D475" s="2">
        <v>136500.0</v>
      </c>
      <c r="E475" s="2">
        <v>136500.0</v>
      </c>
      <c r="F475" s="2">
        <v>0.0</v>
      </c>
      <c r="G475" s="2">
        <v>100.0</v>
      </c>
      <c r="H475" s="2">
        <v>1</v>
      </c>
      <c r="I475" t="inlineStr" s="0">
        <is>
          <t>Ak 11123: Harvinaissairaiden ja –vammaisten sekä heidän läheistensä voimavarojen lisäämiseen vertaistuen ja kokemustoiminnan keinoin - Vaikuttamistoimintaan sekä yleisen tietouden lisäämiseen (HARSOsta suojaa harvinaisille ja tukea harvinaiskentälle) (136 500 €)</t>
        </is>
      </c>
    </row>
    <row r="476">
      <c r="A476" s="2">
        <v>475</v>
      </c>
      <c r="B476" s="2">
        <v>170</v>
      </c>
      <c r="C476" t="inlineStr" s="0">
        <is>
          <t>FINLANDS SVENSKA MARTHAFÖRBUND RF</t>
        </is>
      </c>
      <c r="D476" s="2">
        <v>136213.0</v>
      </c>
      <c r="E476" s="2">
        <v>136213.0</v>
      </c>
      <c r="F476" s="2">
        <v>0.0</v>
      </c>
      <c r="G476" s="2">
        <v>100.0</v>
      </c>
      <c r="H476" s="2">
        <v>1</v>
      </c>
      <c r="I476" t="inlineStr" s="0">
        <is>
          <t>Ak 2: För att öka kunskaperna i huslig ekonomi och skapa rutiner som stöder välmåendet och självförtroendet hos personer med psykisk ohälsa, arbetslösa, personer med invandrarbakgrund, personer med funktionsvariation samt barnfamiljer med hjälp av kursverksamhet, föreläsningar och personlig rådgivning (Hantera vardagen) (136 213 €)</t>
        </is>
      </c>
    </row>
    <row r="477">
      <c r="A477" s="2">
        <v>476</v>
      </c>
      <c r="B477" s="2">
        <v>1189</v>
      </c>
      <c r="C477" t="inlineStr" s="0">
        <is>
          <t>KRELLI Kristilliset eläkeläiset ry</t>
        </is>
      </c>
      <c r="D477" s="2">
        <v>136164.0</v>
      </c>
      <c r="E477" s="2">
        <v>0.0</v>
      </c>
      <c r="F477" s="2">
        <v>136164.0</v>
      </c>
      <c r="G477" s="2">
        <v>0.0</v>
      </c>
      <c r="H477" s="2">
        <v>1</v>
      </c>
      <c r="I477" t="inlineStr" s="0">
        <is>
          <t>Ay 1: Yleisavustuksena avustuksen saajan yleishyödylliseen toimintaan (136 164 €)</t>
        </is>
      </c>
    </row>
    <row r="478">
      <c r="A478" s="2">
        <v>477</v>
      </c>
      <c r="B478" s="2">
        <v>731</v>
      </c>
      <c r="C478" t="inlineStr" s="0">
        <is>
          <t>OLKKARI-KOKEMUS- JA VERTAISTOIMIJAT RY</t>
        </is>
      </c>
      <c r="D478" s="2">
        <v>136000.0</v>
      </c>
      <c r="E478" s="2">
        <v>136000.0</v>
      </c>
      <c r="F478" s="2">
        <v>0.0</v>
      </c>
      <c r="G478" s="2">
        <v>100.0</v>
      </c>
      <c r="H478" s="2">
        <v>1</v>
      </c>
      <c r="I478" t="inlineStr" s="0">
        <is>
          <t>Ak 3106: Mielenterveys- ja päihdekuntoutujien mielen hyvinvoinnin edistämiseen ja riippuvuuksista johtuvien haittojen ehkäisemiseen vertais-, kokemusasiantuntija- ja matalan kynnyksen kohtaamispaikkatoiminnan avulla Seinäjoella (Olkkari) (136 000 €)</t>
        </is>
      </c>
    </row>
    <row r="479">
      <c r="A479" s="2">
        <v>478</v>
      </c>
      <c r="B479" s="2">
        <v>1060</v>
      </c>
      <c r="C479" t="inlineStr" s="0">
        <is>
          <t>MIELI Pieksämäen mielenterveys ry</t>
        </is>
      </c>
      <c r="D479" s="2">
        <v>135608.0</v>
      </c>
      <c r="E479" s="2">
        <v>135608.0</v>
      </c>
      <c r="F479" s="2">
        <v>0.0</v>
      </c>
      <c r="G479" s="2">
        <v>100.0</v>
      </c>
      <c r="H479" s="2">
        <v>1</v>
      </c>
      <c r="I479" t="inlineStr" s="0">
        <is>
          <t>Ak 1: Asukkaiden osallisuuden lisäämiseen vapaaehtoistoiminnan ja kaikille avoimen kohtaamispaikkatoiminnan avulla sekä järjestöjen koordinaation ja vapaaehtoistyön tukeen Pieksämäellä (Neuvokas Toimintakeskus) (135 608 €)</t>
        </is>
      </c>
    </row>
    <row r="480">
      <c r="A480" s="2">
        <v>479</v>
      </c>
      <c r="B480" s="2">
        <v>1181</v>
      </c>
      <c r="C480" t="inlineStr" s="0">
        <is>
          <t>MIELI Lounais-Hämeen mielenterveys ry</t>
        </is>
      </c>
      <c r="D480" s="2">
        <v>135443.0</v>
      </c>
      <c r="E480" s="2">
        <v>135443.0</v>
      </c>
      <c r="F480" s="2">
        <v>0.0</v>
      </c>
      <c r="G480" s="2">
        <v>100.0</v>
      </c>
      <c r="H480" s="2">
        <v>1</v>
      </c>
      <c r="I480" t="inlineStr" s="0">
        <is>
          <t>Ak 2: Syrjäytymisvaarassa olevien henkilöiden osallisuuden ja mielenterveyden vahvistamiseen ryhmätoiminnoilla sekä psykososiaalisten ongelmien ennaltaehkäisyyn koulutusten ja vapaaehtoisten toteuttaman tukisuhdetoiminnan avulla Lounais-Hämeessä (135 443 €)</t>
        </is>
      </c>
    </row>
    <row r="481">
      <c r="A481" s="2">
        <v>480</v>
      </c>
      <c r="B481" s="2">
        <v>850</v>
      </c>
      <c r="C481" t="inlineStr" s="0">
        <is>
          <t>Lounais-Suomen - SYLI ry</t>
        </is>
      </c>
      <c r="D481" s="2">
        <v>135000.0</v>
      </c>
      <c r="E481" s="2">
        <v>135000.0</v>
      </c>
      <c r="F481" s="2">
        <v>0.0</v>
      </c>
      <c r="G481" s="2">
        <v>100.0</v>
      </c>
      <c r="H481" s="2">
        <v>1</v>
      </c>
      <c r="I481" t="inlineStr" s="0">
        <is>
          <t>Ak 9: Syömishäiriötä sairastavien ja heidän läheistensä voimavarojen lisäämiseen matalan kynnyksen tukimuodoilla Lounais-Suomessa (135 000 €)</t>
        </is>
      </c>
    </row>
    <row r="482">
      <c r="A482" s="2">
        <v>481</v>
      </c>
      <c r="B482" s="2">
        <v>588</v>
      </c>
      <c r="C482" t="inlineStr" s="0">
        <is>
          <t>Substance abuse and mental health association SAMHA RY</t>
        </is>
      </c>
      <c r="D482" s="2">
        <v>135000.0</v>
      </c>
      <c r="E482" s="2">
        <v>135000.0</v>
      </c>
      <c r="F482" s="2">
        <v>0.0</v>
      </c>
      <c r="G482" s="2">
        <v>100.0</v>
      </c>
      <c r="H482" s="2">
        <v>1</v>
      </c>
      <c r="I482" t="inlineStr" s="0">
        <is>
          <t>Ak 10737: Mielenterveys- ja päihdeongelmista kärsivien maahanmuuttajataustaisten hyvinvoinnin vahvistamiseen neuvonnan sekä vapaaehtois- ja vertaistoiminnan avulla  (Koutsi 2026) (135 000 €)</t>
        </is>
      </c>
    </row>
    <row r="483">
      <c r="A483" s="2">
        <v>482</v>
      </c>
      <c r="B483" s="2">
        <v>842</v>
      </c>
      <c r="C483" t="inlineStr" s="0">
        <is>
          <t>Tieto on valtaa ry</t>
        </is>
      </c>
      <c r="D483" s="2">
        <v>135000.0</v>
      </c>
      <c r="E483" s="2">
        <v>135000.0</v>
      </c>
      <c r="F483" s="2">
        <v>0.0</v>
      </c>
      <c r="G483" s="2">
        <v>100.0</v>
      </c>
      <c r="H483" s="2">
        <v>1</v>
      </c>
      <c r="I483" t="inlineStr" s="0">
        <is>
          <t>Ak 12367: Maahanmuuttajaperheiden lasten ja nuorten kasvun ja koulunkäynnin tukemiseen iltapäivätoiminnan avulla sekä vanhemmuuden vahvistamiseen neuvonnan ja koulutuksien avulla Itä-Helsingin alueella (135 000 €)</t>
        </is>
      </c>
    </row>
    <row r="484">
      <c r="A484" s="2">
        <v>483</v>
      </c>
      <c r="B484" s="2">
        <v>932</v>
      </c>
      <c r="C484" t="inlineStr" s="0">
        <is>
          <t>SELKÄYDINVAMMAISET AKSON RY</t>
        </is>
      </c>
      <c r="D484" s="2">
        <v>134400.0</v>
      </c>
      <c r="E484" s="2">
        <v>134400.0</v>
      </c>
      <c r="F484" s="2">
        <v>0.0</v>
      </c>
      <c r="G484" s="2">
        <v>100.0</v>
      </c>
      <c r="H484" s="2">
        <v>1</v>
      </c>
      <c r="I484" t="inlineStr" s="0">
        <is>
          <t>Ak 1: Selkäydinvammaisten ja heidän läheistensä elämänlaadun parantamiseen ja selkäydinvammatietouden lisäämiseen vertaistuen, neuvonnan, tiedon jakamisen ja edunvalvonnan avulla (134 400 €)</t>
        </is>
      </c>
    </row>
    <row r="485">
      <c r="A485" s="2">
        <v>484</v>
      </c>
      <c r="B485" s="2">
        <v>250</v>
      </c>
      <c r="C485" t="inlineStr" s="0">
        <is>
          <t>VAASAN SETLEMENTTIYHDISTYS RY - VASA SETTLEMENTF.</t>
        </is>
      </c>
      <c r="D485" s="2">
        <v>133559.0</v>
      </c>
      <c r="E485" s="2">
        <v>133559.0</v>
      </c>
      <c r="F485" s="2">
        <v>0.0</v>
      </c>
      <c r="G485" s="2">
        <v>100.0</v>
      </c>
      <c r="H485" s="2">
        <v>1</v>
      </c>
      <c r="I485" t="inlineStr" s="0">
        <is>
          <t>Ak 1: Maahanmuuttajaäitien ja kantasuomalaisten äitien integraation edistämiseen, vanhemmuuden tukemiseen sekä äidin ja lapsen vuorovaikutusta vahvistavaan ennaltaehkäisevään ryhmätoimintaan pikkulapsiperheille (Arkipaja) (133 559 €)</t>
        </is>
      </c>
    </row>
    <row r="486">
      <c r="A486" s="2">
        <v>485</v>
      </c>
      <c r="B486" s="2">
        <v>1019</v>
      </c>
      <c r="C486" t="inlineStr" s="0">
        <is>
          <t>Keski-Uudenmaan Omaishoitajat ry</t>
        </is>
      </c>
      <c r="D486" s="2">
        <v>132510.0</v>
      </c>
      <c r="E486" s="2">
        <v>132510.0</v>
      </c>
      <c r="F486" s="2">
        <v>0.0</v>
      </c>
      <c r="G486" s="2">
        <v>100.0</v>
      </c>
      <c r="H486" s="2">
        <v>1</v>
      </c>
      <c r="I486" t="inlineStr" s="0">
        <is>
          <t>Ak 2441: Omaishoitajien toimintakyvyn tukemiseen tiedottamisen, neuvonnan, vertaistoiminnan ja valmennusten avulla kuuden kunnan alueella Keski-Uudellamaalla (OmaisOiva) (132 510 €)</t>
        </is>
      </c>
    </row>
    <row r="487">
      <c r="A487" s="2">
        <v>486</v>
      </c>
      <c r="B487" s="2">
        <v>1798</v>
      </c>
      <c r="C487" t="inlineStr" s="0">
        <is>
          <t>ViaDia Länsi-Uusimaa ry</t>
        </is>
      </c>
      <c r="D487" s="2">
        <v>132405.0</v>
      </c>
      <c r="E487" s="2">
        <v>132405.0</v>
      </c>
      <c r="F487" s="2">
        <v>0.0</v>
      </c>
      <c r="G487" s="2">
        <v>100.0</v>
      </c>
      <c r="H487" s="2">
        <v>1</v>
      </c>
      <c r="I487" t="inlineStr" s="0">
        <is>
          <t>Ak 10695: ViaDia Senioritalon matalan kynnyksen toimintaan yli 63-vuotiaille Vihdin Nummelassa (132 405 €)</t>
        </is>
      </c>
    </row>
    <row r="488">
      <c r="A488" s="2">
        <v>487</v>
      </c>
      <c r="B488" s="2">
        <v>927</v>
      </c>
      <c r="C488" t="inlineStr" s="0">
        <is>
          <t>AMURIN TEON TUPA RY</t>
        </is>
      </c>
      <c r="D488" s="2">
        <v>132300.0</v>
      </c>
      <c r="E488" s="2">
        <v>132300.0</v>
      </c>
      <c r="F488" s="2">
        <v>0.0</v>
      </c>
      <c r="G488" s="2">
        <v>100.0</v>
      </c>
      <c r="H488" s="2">
        <v>1</v>
      </c>
      <c r="I488" t="inlineStr" s="0">
        <is>
          <t>Ak 5769: Yli 60-vuotiaiden hyvinvoinnin, toimintakyvyn ja yhteisöllisyyden vahvistamiseen, yksinäisyyden kokemuksen vähentämiseen sekä digitaitojen vahvistamiseen kohtaamispaikka- ja ryhmätoiminnan avulla (Iltatupa-toiminta) (132 300 €)</t>
        </is>
      </c>
    </row>
    <row r="489">
      <c r="A489" s="2">
        <v>488</v>
      </c>
      <c r="B489" s="2">
        <v>358</v>
      </c>
      <c r="C489" t="inlineStr" s="0">
        <is>
          <t>MIELI Vuoroveto Mielenterveys ry</t>
        </is>
      </c>
      <c r="D489" s="2">
        <v>132300.0</v>
      </c>
      <c r="E489" s="2">
        <v>132300.0</v>
      </c>
      <c r="F489" s="2">
        <v>0.0</v>
      </c>
      <c r="G489" s="2">
        <v>100.0</v>
      </c>
      <c r="H489" s="2">
        <v>1</v>
      </c>
      <c r="I489" t="inlineStr" s="0">
        <is>
          <t>Ak 1: Vaikeissa elämäntilanteissa oleville henkilöille tarkoitettuun järjestölähtöiseen kriisi- ja mielenterveystyöhön tarjoamalla matalan kynnyksen keskusteluapua, ammatillisesti ja vapaaehtoisvoimin ohjattuja ryhmiä, etäauttamista ja työyhteisöjen koulutuksia (Vuoroveto-kriisikeskus Kouvola) (132 300 €)</t>
        </is>
      </c>
    </row>
    <row r="490">
      <c r="A490" s="2">
        <v>489</v>
      </c>
      <c r="B490" s="2">
        <v>648</v>
      </c>
      <c r="C490" t="inlineStr" s="0">
        <is>
          <t>Keski-Suomen Omaishoitajat ry</t>
        </is>
      </c>
      <c r="D490" s="2">
        <v>131500.0</v>
      </c>
      <c r="E490" s="2">
        <v>131500.0</v>
      </c>
      <c r="F490" s="2">
        <v>0.0</v>
      </c>
      <c r="G490" s="2">
        <v>100.0</v>
      </c>
      <c r="H490" s="2">
        <v>1</v>
      </c>
      <c r="I490" t="inlineStr" s="0">
        <is>
          <t>Ak 2: Omaishoitajien toimintakyvyn tukemiseen tiedottamisen, neuvonnan, vertaistoiminnan ja valmennusten avulla Keski-Suomen alueella (OmaisOiva) (131 500 €)</t>
        </is>
      </c>
    </row>
    <row r="491">
      <c r="A491" s="2">
        <v>490</v>
      </c>
      <c r="B491" s="2">
        <v>967</v>
      </c>
      <c r="C491" t="inlineStr" s="0">
        <is>
          <t>SUOMEN MONIÄÄNISET RY</t>
        </is>
      </c>
      <c r="D491" s="2">
        <v>131250.0</v>
      </c>
      <c r="E491" s="2">
        <v>131250.0</v>
      </c>
      <c r="F491" s="2">
        <v>0.0</v>
      </c>
      <c r="G491" s="2">
        <v>100.0</v>
      </c>
      <c r="H491" s="2">
        <v>1</v>
      </c>
      <c r="I491" t="inlineStr" s="0">
        <is>
          <t>Ak 3: Ääniä kuulevien hyvinvoinnin lisäämiseen verkossa, kasvokkain ja puhelimitse toteutettavan  vertaistuen avulla (131 250 €)</t>
        </is>
      </c>
    </row>
    <row r="492">
      <c r="A492" s="2">
        <v>491</v>
      </c>
      <c r="B492" s="2">
        <v>893</v>
      </c>
      <c r="C492" t="inlineStr" s="0">
        <is>
          <t>SOTKAMON MIELENTERVEYDEN TUKI</t>
        </is>
      </c>
      <c r="D492" s="2">
        <v>131000.0</v>
      </c>
      <c r="E492" s="2">
        <v>131000.0</v>
      </c>
      <c r="F492" s="2">
        <v>0.0</v>
      </c>
      <c r="G492" s="2">
        <v>100.0</v>
      </c>
      <c r="H492" s="2">
        <v>1</v>
      </c>
      <c r="I492" t="inlineStr" s="0">
        <is>
          <t>Ak 2: Mielenterveyskuntoutujien ja -omaisten hyvinvoinnin vahvistamiseen vertaisryhmätoiminnoilla ja vapaaehtoisten tukemisella Kainuussa sekä kohtaamispaikkatoiminnan avulla Sotkamossa (Kainuun Vertaistoiminta ja Sotkamon Hyvän Mielen Kulma) (131 000 €)</t>
        </is>
      </c>
    </row>
    <row r="493">
      <c r="A493" s="2">
        <v>492</v>
      </c>
      <c r="B493" s="2">
        <v>1707</v>
      </c>
      <c r="C493" t="inlineStr" s="0">
        <is>
          <t>Salon seudun romanit ry</t>
        </is>
      </c>
      <c r="D493" s="2">
        <v>130859.0</v>
      </c>
      <c r="E493" s="2">
        <v>130859.0</v>
      </c>
      <c r="F493" s="2">
        <v>0.0</v>
      </c>
      <c r="G493" s="2">
        <v>100.0</v>
      </c>
      <c r="H493" s="2">
        <v>1</v>
      </c>
      <c r="I493" t="inlineStr" s="0">
        <is>
          <t>Ak 12310: Romaniperheiden hyvinvoinnin, osallisuuden sekä toimijuuden vahvistamiseen matalan kynnyksen toiminnan, jalkautuvan työn, neuvonnan ja ryhmätoiminnan sekä verkostotyön avulla  (Perheenä huomiseen - matalan kynnyksen romaniperhetyö) (130 859 €)</t>
        </is>
      </c>
    </row>
    <row r="494">
      <c r="A494" s="2">
        <v>493</v>
      </c>
      <c r="B494" s="2">
        <v>1039</v>
      </c>
      <c r="C494" t="inlineStr" s="0">
        <is>
          <t>POHJOIS-KARJALAN MIELENTERVEYDENTUKI RY</t>
        </is>
      </c>
      <c r="D494" s="2">
        <v>130000.0</v>
      </c>
      <c r="E494" s="2">
        <v>130000.0</v>
      </c>
      <c r="F494" s="2">
        <v>0.0</v>
      </c>
      <c r="G494" s="2">
        <v>100.0</v>
      </c>
      <c r="H494" s="2">
        <v>1</v>
      </c>
      <c r="I494" t="inlineStr" s="0">
        <is>
          <t>Ak 10371: 18-35-vuotiaiden mielenterveystoipujien sekä muutoin haastavassa elämäntilanteessa olevien nuorten aikuisten osallisuuden sekä työ- ja toimintakyvyn edistämiseen vertaisohjattujen luovien ryhmätoimintojen sekä vertaisohjaajakoulutusten avulla Joensuussa (Kulttuuripaja Kuohu) (130 000 €)</t>
        </is>
      </c>
    </row>
    <row r="495">
      <c r="A495" s="2">
        <v>494</v>
      </c>
      <c r="B495" s="2">
        <v>822</v>
      </c>
      <c r="C495" t="inlineStr" s="0">
        <is>
          <t>LASTEN KESÄLEIRIYHDISTYS -76 RY</t>
        </is>
      </c>
      <c r="D495" s="2">
        <v>129843.0</v>
      </c>
      <c r="E495" s="2">
        <v>129843.0</v>
      </c>
      <c r="F495" s="2">
        <v>0.0</v>
      </c>
      <c r="G495" s="2">
        <v>100.0</v>
      </c>
      <c r="H495" s="2">
        <v>1</v>
      </c>
      <c r="I495" t="inlineStr" s="0">
        <is>
          <t>Ak 2: Lasten lomatoimintaan terveyden ja hyvinvoinnin edistämiseksi (129 843 €)</t>
        </is>
      </c>
    </row>
    <row r="496">
      <c r="A496" s="2">
        <v>495</v>
      </c>
      <c r="B496" s="2">
        <v>110</v>
      </c>
      <c r="C496" t="inlineStr" s="0">
        <is>
          <t>PÄIJÄT-HÄMEEN NÄKÖVAMMAISET RY</t>
        </is>
      </c>
      <c r="D496" s="2">
        <v>129300.0</v>
      </c>
      <c r="E496" s="2">
        <v>129300.0</v>
      </c>
      <c r="F496" s="2">
        <v>0.0</v>
      </c>
      <c r="G496" s="2">
        <v>100.0</v>
      </c>
      <c r="H496" s="2">
        <v>1</v>
      </c>
      <c r="I496" t="inlineStr" s="0">
        <is>
          <t>Ak 1: Näkövammaisten itsenäisen elämän tukemiseen ja osallisuuden edistämiseen vertaistuen, ryhmätoiminnan, saavutettavan tiedon ja digituen avulla (129 300 €)</t>
        </is>
      </c>
    </row>
    <row r="497">
      <c r="A497" s="2">
        <v>496</v>
      </c>
      <c r="B497" s="2">
        <v>454</v>
      </c>
      <c r="C497" t="inlineStr" s="0">
        <is>
          <t>MIELENTERVEYSYHDISTYS MIELIKKI RY</t>
        </is>
      </c>
      <c r="D497" s="2">
        <v>128970.0</v>
      </c>
      <c r="E497" s="2">
        <v>128970.0</v>
      </c>
      <c r="F497" s="2">
        <v>0.0</v>
      </c>
      <c r="G497" s="2">
        <v>100.0</v>
      </c>
      <c r="H497" s="2">
        <v>1</v>
      </c>
      <c r="I497" t="inlineStr" s="0">
        <is>
          <t>Ak 1: Mielenterveyskuntoutujien ja heidän läheistensä osallisuuden ja hyvinvoinnin lisäämiseen sekä sosiaalisten verkostojen laajentamiseen matalan kynnyksen kohtaamispaikkatoiminnalla Forssassa sekä vertaisryhmätoiminnoilla koko Lounais-Hämeen alueella (128 970 €)</t>
        </is>
      </c>
    </row>
    <row r="498">
      <c r="A498" s="2">
        <v>497</v>
      </c>
      <c r="B498" s="2">
        <v>723</v>
      </c>
      <c r="C498" t="inlineStr" s="0">
        <is>
          <t>Vapauteen Ilmaisun ja Kuntouttavan Toiminnan kautta VIKTO ry</t>
        </is>
      </c>
      <c r="D498" s="2">
        <v>128760.0</v>
      </c>
      <c r="E498" s="2">
        <v>128760.0</v>
      </c>
      <c r="F498" s="2">
        <v>0.0</v>
      </c>
      <c r="G498" s="2">
        <v>100.0</v>
      </c>
      <c r="H498" s="2">
        <v>1</v>
      </c>
      <c r="I498" t="inlineStr" s="0">
        <is>
          <t>Ak 10112: Rikostaustaisten henkilöiden rikoksettoman ja päihteettömän elämän tukemiseen yksilö- ja ryhmämuotoisella ohjauksella ja tuella, vapaaehtoistoiminnoilla sekä verkostoyhteistyöllä julkisen ja kolmannen sektorin toimijoiden kanssa Hämeenlinnan, Hattulan, Janakkalan ja Riihimäen alueella (128 760 €)</t>
        </is>
      </c>
    </row>
    <row r="499">
      <c r="A499" s="2">
        <v>498</v>
      </c>
      <c r="B499" s="2">
        <v>1602</v>
      </c>
      <c r="C499" t="inlineStr" s="0">
        <is>
          <t>Keski-Uudenmaan vertais- ja kokemusasiantuntijatoiminnan tuki WERKKO ry</t>
        </is>
      </c>
      <c r="D499" s="2">
        <v>128570.0</v>
      </c>
      <c r="E499" s="2">
        <v>128570.0</v>
      </c>
      <c r="F499" s="2">
        <v>0.0</v>
      </c>
      <c r="G499" s="2">
        <v>100.0</v>
      </c>
      <c r="H499" s="2">
        <v>1</v>
      </c>
      <c r="I499" t="inlineStr" s="0">
        <is>
          <t>Ak 12454: Mielenterveys -ja päihdekuntoutujien sekä paljon sote-palveluita käyttävien toimintakyvyn ja osallisuuden edistämiseen sekä palvelujärjestelmän kehittämiseen kokemustietoa hyödyntämällä  (Tukikeskus Werkko) (128 570 €)</t>
        </is>
      </c>
    </row>
    <row r="500">
      <c r="A500" s="2">
        <v>499</v>
      </c>
      <c r="B500" s="2">
        <v>514</v>
      </c>
      <c r="C500" t="inlineStr" s="0">
        <is>
          <t>Understödsföreningen för svenskspråkig missbrukarvård rf</t>
        </is>
      </c>
      <c r="D500" s="2">
        <v>128500.0</v>
      </c>
      <c r="E500" s="2">
        <v>128500.0</v>
      </c>
      <c r="F500" s="2">
        <v>0.0</v>
      </c>
      <c r="G500" s="2">
        <v>100.0</v>
      </c>
      <c r="H500" s="2">
        <v>1</v>
      </c>
      <c r="I500" t="inlineStr" s="0">
        <is>
          <t>Ak 6: För strukturerad grupp- och individuell stödverksamhet för personer med missbruk och beroende (128 500 €)</t>
        </is>
      </c>
    </row>
    <row r="501">
      <c r="A501" s="2">
        <v>500</v>
      </c>
      <c r="B501" s="2">
        <v>529</v>
      </c>
      <c r="C501" t="inlineStr" s="0">
        <is>
          <t>UNILIITTO RY</t>
        </is>
      </c>
      <c r="D501" s="2">
        <v>128000.0</v>
      </c>
      <c r="E501" s="2">
        <v>128000.0</v>
      </c>
      <c r="F501" s="2">
        <v>0.0</v>
      </c>
      <c r="G501" s="2">
        <v>100.0</v>
      </c>
      <c r="H501" s="2">
        <v>1</v>
      </c>
      <c r="I501" t="inlineStr" s="0">
        <is>
          <t>Ak 1: Unihäiriöistä aiheutuvien haittojen vähentämiseen neuvonnan, vertaistuen, edunvalvonnan ja viestinnän avulla sekä uniyhdistysten tukemiseen (128 000 €)</t>
        </is>
      </c>
    </row>
    <row r="502">
      <c r="A502" s="2">
        <v>501</v>
      </c>
      <c r="B502" s="2">
        <v>231</v>
      </c>
      <c r="C502" t="inlineStr" s="0">
        <is>
          <t>OULUN NMKY RY</t>
        </is>
      </c>
      <c r="D502" s="2">
        <v>127500.0</v>
      </c>
      <c r="E502" s="2">
        <v>127500.0</v>
      </c>
      <c r="F502" s="2">
        <v>0.0</v>
      </c>
      <c r="G502" s="2">
        <v>100.0</v>
      </c>
      <c r="H502" s="2">
        <v>1</v>
      </c>
      <c r="I502" t="inlineStr" s="0">
        <is>
          <t>Ak 10781: Nuorten ja nuorten aikuisten syrjäytymistä ehkäisevään sekä eri väestöryhmiä yhdistävään ja osallistumista edistävään jalkautuvaan ryhmätoimintaan ja vapaa-ajantoimintaan (Yökoris Oulu) (127 500 €)</t>
        </is>
      </c>
    </row>
    <row r="503">
      <c r="A503" s="2">
        <v>502</v>
      </c>
      <c r="B503" s="2">
        <v>683</v>
      </c>
      <c r="C503" t="inlineStr" s="0">
        <is>
          <t>Mielihyvin Savosta ry</t>
        </is>
      </c>
      <c r="D503" s="2">
        <v>127000.0</v>
      </c>
      <c r="E503" s="2">
        <v>127000.0</v>
      </c>
      <c r="F503" s="2">
        <v>0.0</v>
      </c>
      <c r="G503" s="2">
        <v>100.0</v>
      </c>
      <c r="H503" s="2">
        <v>1</v>
      </c>
      <c r="I503" t="inlineStr" s="0">
        <is>
          <t>Ak 4: Mielenterveyskuntoutujien osallisuuden ja toimintakyvyn vahvistamiseen vapaaehtois- ja vertaisryhmätoiminnoilla Kuopiossa, Kaavilla ja Tuusniemellä (127 000 €)</t>
        </is>
      </c>
    </row>
    <row r="504">
      <c r="A504" s="2">
        <v>503</v>
      </c>
      <c r="B504" s="2">
        <v>564</v>
      </c>
      <c r="C504" t="inlineStr" s="0">
        <is>
          <t>Hyvinkään omaishoitajat ry</t>
        </is>
      </c>
      <c r="D504" s="2">
        <v>126950.0</v>
      </c>
      <c r="E504" s="2">
        <v>126950.0</v>
      </c>
      <c r="F504" s="2">
        <v>0.0</v>
      </c>
      <c r="G504" s="2">
        <v>100.0</v>
      </c>
      <c r="H504" s="2">
        <v>1</v>
      </c>
      <c r="I504" t="inlineStr" s="0">
        <is>
          <t>Ak 1: Omaishoitajien toimintakyvyn tukemiseen tiedottamisen, neuvonnan, vertaistoiminnan ja valmennusten avulla Hyvinkäällä, Riihimäellä, Hausjärvellä, Lopella ja Janakkalassa  (OmaisOiva) (126 950 €)</t>
        </is>
      </c>
    </row>
    <row r="505">
      <c r="A505" s="2">
        <v>504</v>
      </c>
      <c r="B505" s="2">
        <v>1225</v>
      </c>
      <c r="C505" t="inlineStr" s="0">
        <is>
          <t>Sydänliitto Etelä-Suomen Alue ry, Hjärtförbundet Södra Finlands Område rf</t>
        </is>
      </c>
      <c r="D505" s="2">
        <v>126500.0</v>
      </c>
      <c r="E505" s="2">
        <v>126500.0</v>
      </c>
      <c r="F505" s="2">
        <v>0.0</v>
      </c>
      <c r="G505" s="2">
        <v>100.0</v>
      </c>
      <c r="H505" s="2">
        <v>2</v>
      </c>
      <c r="I505" t="inlineStr" s="0">
        <is>
          <t>Ak 11954: Sydänpiste-toimintaan HUS:n Postitalon kardiologian poliklinikan yhteydessä, vertaisryhmätoimintaan eteisvärinä- ja rytmihäiriöpotilaille sekä sydänpotilaan hoitopolun kehittämiseen HUS-alueella yhdessä terveydenhuoltohenkilöstön kanssa (101 500 €) | Ak 5721: Jäsenjärjestöille kohdistettaviin avustuksiin (25 000 €)</t>
        </is>
      </c>
    </row>
    <row r="506">
      <c r="A506" s="2">
        <v>505</v>
      </c>
      <c r="B506" s="2">
        <v>608</v>
      </c>
      <c r="C506" t="inlineStr" s="0">
        <is>
          <t>Mannerheimin Lastensuojeluliiton Kainuun piiri ry</t>
        </is>
      </c>
      <c r="D506" s="2">
        <v>126300.0</v>
      </c>
      <c r="E506" s="2">
        <v>82800.0</v>
      </c>
      <c r="F506" s="2">
        <v>43500.0</v>
      </c>
      <c r="G506" s="2">
        <v>65.6</v>
      </c>
      <c r="H506" s="2">
        <v>3</v>
      </c>
      <c r="I506" t="inlineStr" s="0">
        <is>
          <t>Ak 7171: Vapaaehtoisten toteuttamaan MLL-tukihenkilötoimintaan Kainuussa (Perhekummi-, kaveri- ja ystäväksi maahanmuuttajaäidille toiminta sekä mummi- ja vaaritoiminta) (72 800 €) | C 13795: Euroopan sosiaalirahasto plussan (ESR+) hankkeen "Omanlaisena Yhdessä (Together as our own)" osarahoitukseen järjestölle (2026-2028) (43 500 €) | Ak 10756: Jäsenjärjestöille kohdistettaviin avustuksiin. (10 000 €)</t>
        </is>
      </c>
    </row>
    <row r="507">
      <c r="A507" s="2">
        <v>506</v>
      </c>
      <c r="B507" s="2">
        <v>676</v>
      </c>
      <c r="C507" t="inlineStr" s="0">
        <is>
          <t>JOENSUUN SEUDUN MONIKULTTUURIYHDISTYS RY</t>
        </is>
      </c>
      <c r="D507" s="2">
        <v>126000.0</v>
      </c>
      <c r="E507" s="2">
        <v>126000.0</v>
      </c>
      <c r="F507" s="2">
        <v>0.0</v>
      </c>
      <c r="G507" s="2">
        <v>100.0</v>
      </c>
      <c r="H507" s="2">
        <v>1</v>
      </c>
      <c r="I507" t="inlineStr" s="0">
        <is>
          <t>Ak 11436: Kaksisuuntaisen kotoutumisen sekä maahanmuuttajataustaisten nuorten ja nuorten aikuisten osallisuuden edistämiseen yksilöllisen tuen, harrastus-, vapaaehtois- ja vertaisryhmätoiminnan sekä verkostotyön avulla (126 000 €)</t>
        </is>
      </c>
    </row>
    <row r="508">
      <c r="A508" s="2">
        <v>507</v>
      </c>
      <c r="B508" s="2">
        <v>447</v>
      </c>
      <c r="C508" t="inlineStr" s="0">
        <is>
          <t>Lieksan Somali perheyhdistys ry</t>
        </is>
      </c>
      <c r="D508" s="2">
        <v>126000.0</v>
      </c>
      <c r="E508" s="2">
        <v>126000.0</v>
      </c>
      <c r="F508" s="2">
        <v>0.0</v>
      </c>
      <c r="G508" s="2">
        <v>100.0</v>
      </c>
      <c r="H508" s="2">
        <v>1</v>
      </c>
      <c r="I508" t="inlineStr" s="0">
        <is>
          <t>Ak 9660: Kaksisuuntaisen kotoutumisen sekä maahanmuuttajataustaisten ja alueen muiden asukkaiden hyvinvoinnin, osallisuuden ja arjen hallinnan edistämiseen matalan kynnyksen vertaistoiminnalla Lieksassa sekä digitaalisella neuvontapalvelulla  (Verneri-toiminta) (126 000 €)</t>
        </is>
      </c>
    </row>
    <row r="509">
      <c r="A509" s="2">
        <v>508</v>
      </c>
      <c r="B509" s="2">
        <v>677</v>
      </c>
      <c r="C509" t="inlineStr" s="0">
        <is>
          <t>Mothers in Business MiB ry</t>
        </is>
      </c>
      <c r="D509" s="2">
        <v>125909.0</v>
      </c>
      <c r="E509" s="2">
        <v>125909.0</v>
      </c>
      <c r="F509" s="2">
        <v>0.0</v>
      </c>
      <c r="G509" s="2">
        <v>100.0</v>
      </c>
      <c r="H509" s="2">
        <v>1</v>
      </c>
      <c r="I509" t="inlineStr" s="0">
        <is>
          <t>Ak 7556: Pienten lasten äitien työelämäosallisuuden, hyvinvoinnin ja voimavarojen vahvistamiseen vapaaehtois-, vertais- ja tapahtumatoiminnalla (125 909 €)</t>
        </is>
      </c>
    </row>
    <row r="510">
      <c r="A510" s="2">
        <v>509</v>
      </c>
      <c r="B510" s="2">
        <v>826</v>
      </c>
      <c r="C510" t="inlineStr" s="0">
        <is>
          <t>MIELI Lohjan mielenterveys ry</t>
        </is>
      </c>
      <c r="D510" s="2">
        <v>125905.0</v>
      </c>
      <c r="E510" s="2">
        <v>125905.0</v>
      </c>
      <c r="F510" s="2">
        <v>0.0</v>
      </c>
      <c r="G510" s="2">
        <v>100.0</v>
      </c>
      <c r="H510" s="2">
        <v>1</v>
      </c>
      <c r="I510" t="inlineStr" s="0">
        <is>
          <t>Ak 2: Asukkaiden hyvinvoinnin ja osallisuuden edistämiseen vapaaehtoisten toteuttaman tukihenkilötoiminnan, ryhmätoimintojen, kriisipuhelinpalvelun ja tukikoirakkotoiminnan keinoin Lohjalla (125 905 €)</t>
        </is>
      </c>
    </row>
    <row r="511">
      <c r="A511" s="2">
        <v>510</v>
      </c>
      <c r="B511" s="2">
        <v>56</v>
      </c>
      <c r="C511" t="inlineStr" s="0">
        <is>
          <t>POHJOIS-POHJANMAAN NÄKÖVAMMAISET RY</t>
        </is>
      </c>
      <c r="D511" s="2">
        <v>125700.0</v>
      </c>
      <c r="E511" s="2">
        <v>125700.0</v>
      </c>
      <c r="F511" s="2">
        <v>0.0</v>
      </c>
      <c r="G511" s="2">
        <v>100.0</v>
      </c>
      <c r="H511" s="2">
        <v>1</v>
      </c>
      <c r="I511" t="inlineStr" s="0">
        <is>
          <t>Ak 2: Näkövammaisten itsenäisen elämän tukemiseen ja osallisuuden edistämiseen vertaistuen, ryhmätoiminnan, saavutettavan tiedon ja digiohjauksen avulla Pohjois-Pohjanmaalla (125 700 €)</t>
        </is>
      </c>
    </row>
    <row r="512">
      <c r="A512" s="2">
        <v>511</v>
      </c>
      <c r="B512" s="2">
        <v>282</v>
      </c>
      <c r="C512" t="inlineStr" s="0">
        <is>
          <t>Huimaus- ja Meniere-liitto ry Yrsel- och Meniere-förbundet rf</t>
        </is>
      </c>
      <c r="D512" s="2">
        <v>124796.0</v>
      </c>
      <c r="E512" s="2">
        <v>124796.0</v>
      </c>
      <c r="F512" s="2">
        <v>0.0</v>
      </c>
      <c r="G512" s="2">
        <v>100.0</v>
      </c>
      <c r="H512" s="2">
        <v>2</v>
      </c>
      <c r="I512" t="inlineStr" s="0">
        <is>
          <t>Ak 3: Sisäkorvaperäistä huimausta ja Ménièren tautia sairastavien hyvinvoinnin ja työ- ja toimintakyvyn lisäämiseen ja elämänlaadun parantamiseen vertaistuen ja tiedon lisäämisen avulla - terveydenhuollon ammattilaisten tiedon ja ymmärryksen lisäämiseen yhteistoiminnalla (YTP-malli) (116 796 €) | Ak 1550: Jäsenjärjestöille kohdistettaviin avustuksiin (8 000 €)</t>
        </is>
      </c>
    </row>
    <row r="513">
      <c r="A513" s="2">
        <v>512</v>
      </c>
      <c r="B513" s="2">
        <v>889</v>
      </c>
      <c r="C513" t="inlineStr" s="0">
        <is>
          <t>KOUVOLAN SEUDUN SOSIAALIPSYKIATRINEN YHDISTYS RY</t>
        </is>
      </c>
      <c r="D513" s="2">
        <v>124212.0</v>
      </c>
      <c r="E513" s="2">
        <v>124212.0</v>
      </c>
      <c r="F513" s="2">
        <v>0.0</v>
      </c>
      <c r="G513" s="2">
        <v>100.0</v>
      </c>
      <c r="H513" s="2">
        <v>1</v>
      </c>
      <c r="I513" t="inlineStr" s="0">
        <is>
          <t>Ak 5: Mielenterveyskuntoutujien toimintakyvyn ja osallisuuden tukemiseen matalan kynnyksen  kohtaamispaikka- ja ryhmätoimintojen avulla Kouvolassa (Inkeroisten Tukiyhteisö) (124 212 €)</t>
        </is>
      </c>
    </row>
    <row r="514">
      <c r="A514" s="2">
        <v>513</v>
      </c>
      <c r="B514" s="2">
        <v>935</v>
      </c>
      <c r="C514" t="inlineStr" s="0">
        <is>
          <t>NAL Riihimäki ry</t>
        </is>
      </c>
      <c r="D514" s="2">
        <v>123480.0</v>
      </c>
      <c r="E514" s="2">
        <v>123480.0</v>
      </c>
      <c r="F514" s="2">
        <v>0.0</v>
      </c>
      <c r="G514" s="2">
        <v>100.0</v>
      </c>
      <c r="H514" s="2">
        <v>1</v>
      </c>
      <c r="I514" t="inlineStr" s="0">
        <is>
          <t>Ak 1: Erityistä tukea tarvitsevien nuorten itsenäistymisen tukemiseen ja asunnottomuuden ehkäisyyn asumisohjauksella ja -neuvonnalla sekä ryhmätoiminnoilla Riihimäen seudulla ja Lahdessa (123 480 €)</t>
        </is>
      </c>
    </row>
    <row r="515">
      <c r="A515" s="2">
        <v>514</v>
      </c>
      <c r="B515" s="2">
        <v>1204</v>
      </c>
      <c r="C515" t="inlineStr" s="0">
        <is>
          <t>KAAKONKULMAN KULTTUURIMYLLY RY</t>
        </is>
      </c>
      <c r="D515" s="2">
        <v>123458.0</v>
      </c>
      <c r="E515" s="2">
        <v>123458.0</v>
      </c>
      <c r="F515" s="2">
        <v>0.0</v>
      </c>
      <c r="G515" s="2">
        <v>100.0</v>
      </c>
      <c r="H515" s="2">
        <v>1</v>
      </c>
      <c r="I515" t="inlineStr" s="0">
        <is>
          <t>Ak 1: Kaksisuuntaisen kotoutumisen sekä maahanmuuttajataustaisten ja muiden alueella asuvien osallisuuden ja toimintakyvyn edistämiseen yksilötuen, neuvonnan, palveluohjauksen, vertaisryhmien, kerhojen ja tapahtumien sekä vapaaehtoistoiminnan avulla kohtaamispaikassa (123 458 €)</t>
        </is>
      </c>
    </row>
    <row r="516">
      <c r="A516" s="2">
        <v>515</v>
      </c>
      <c r="B516" s="2">
        <v>322</v>
      </c>
      <c r="C516" t="inlineStr" s="0">
        <is>
          <t>JYRÄNKÖLÄN SETLEMENTTI RY</t>
        </is>
      </c>
      <c r="D516" s="2">
        <v>123160.0</v>
      </c>
      <c r="E516" s="2">
        <v>123160.0</v>
      </c>
      <c r="F516" s="2">
        <v>0.0</v>
      </c>
      <c r="G516" s="2">
        <v>100.0</v>
      </c>
      <c r="H516" s="2">
        <v>1</v>
      </c>
      <c r="I516" t="inlineStr" s="0">
        <is>
          <t>Ak 5: Matalan kynnyksen kohtaamispaikkatoimintaan ja vapaaehtoistyön koordinointiin haasteellisessa elämäntilanteessa olevien osallisuuden ja hyvinvoinnin edistämiseksi (123 160 €)</t>
        </is>
      </c>
    </row>
    <row r="517">
      <c r="A517" s="2">
        <v>516</v>
      </c>
      <c r="B517" s="2">
        <v>590</v>
      </c>
      <c r="C517" t="inlineStr" s="0">
        <is>
          <t>SAIMAAN SYÖPÄYHDISTYS RY</t>
        </is>
      </c>
      <c r="D517" s="2">
        <v>122500.0</v>
      </c>
      <c r="E517" s="2">
        <v>122500.0</v>
      </c>
      <c r="F517" s="2">
        <v>0.0</v>
      </c>
      <c r="G517" s="2">
        <v>100.0</v>
      </c>
      <c r="H517" s="2">
        <v>1</v>
      </c>
      <c r="I517" t="inlineStr" s="0">
        <is>
          <t>Ak 2: Syöpään sairastuneiden ja heidän läheistensä tuki- ja neuvontatoimintaan sekä vertais- ja vapaaehtoistoimintaan (122 500 €)</t>
        </is>
      </c>
    </row>
    <row r="518">
      <c r="A518" s="2">
        <v>517</v>
      </c>
      <c r="B518" s="2">
        <v>1880</v>
      </c>
      <c r="C518" t="inlineStr" s="0">
        <is>
          <t>Lapin Sydänpiiri ry</t>
        </is>
      </c>
      <c r="D518" s="2">
        <v>121642.0</v>
      </c>
      <c r="E518" s="2">
        <v>121642.0</v>
      </c>
      <c r="F518" s="2">
        <v>0.0</v>
      </c>
      <c r="G518" s="2">
        <v>100.0</v>
      </c>
      <c r="H518" s="2">
        <v>2</v>
      </c>
      <c r="I518" t="inlineStr" s="0">
        <is>
          <t>Ak 11842: Vertaistukitoiminnan koordinointiin ja toteuttamiseen sekä vapaaehtoisten vertaistukitoimijoiden tukemiseen Kainuun, Keski-Pohjanmaan, Lapin ja Pohjois-Pohjanmaan alueilla (107 642 €) | Ak 7614: Jäsenjärjestöille kohdistettaviin avustuksiin (14 000 €)</t>
        </is>
      </c>
    </row>
    <row r="519">
      <c r="A519" s="2">
        <v>518</v>
      </c>
      <c r="B519" s="2">
        <v>804</v>
      </c>
      <c r="C519" t="inlineStr" s="0">
        <is>
          <t>KALAJOKILAAKSON MIELENTERVEYSYHDISTYS MIELIKIT RY</t>
        </is>
      </c>
      <c r="D519" s="2">
        <v>121275.0</v>
      </c>
      <c r="E519" s="2">
        <v>121275.0</v>
      </c>
      <c r="F519" s="2">
        <v>0.0</v>
      </c>
      <c r="G519" s="2">
        <v>100.0</v>
      </c>
      <c r="H519" s="2">
        <v>1</v>
      </c>
      <c r="I519" t="inlineStr" s="0">
        <is>
          <t>Ak 1: Mielenterveys- ja päihdekuntoutujien sosiaalisten taitojen ylläpitämiseen ja yksinäisyyden vähentämiseen matalan kynnyksen kohtaamispaikan, neuvonnan ja ohjauksen sekä vertaistoimintojen avulla (Ylivieskan Mielikkitalo) (121 275 €)</t>
        </is>
      </c>
    </row>
    <row r="520">
      <c r="A520" s="2">
        <v>519</v>
      </c>
      <c r="B520" s="2">
        <v>797</v>
      </c>
      <c r="C520" t="inlineStr" s="0">
        <is>
          <t>RAUMAN MIELENTERVEYSYHDISTYS FRISKI TUULT RY</t>
        </is>
      </c>
      <c r="D520" s="2">
        <v>120500.0</v>
      </c>
      <c r="E520" s="2">
        <v>120500.0</v>
      </c>
      <c r="F520" s="2">
        <v>0.0</v>
      </c>
      <c r="G520" s="2">
        <v>100.0</v>
      </c>
      <c r="H520" s="2">
        <v>1</v>
      </c>
      <c r="I520" t="inlineStr" s="0">
        <is>
          <t>Ak 1: Mielenterveyskuntoutujien osallisuuden vahvistamiseen matalan kynnyksen kohtaamispaikkatoiminnalla ja asumisen vertaistuella (Rauman Hyvän Mielen talo) (120 500 €)</t>
        </is>
      </c>
    </row>
    <row r="521">
      <c r="A521" s="2">
        <v>520</v>
      </c>
      <c r="B521" s="2">
        <v>703</v>
      </c>
      <c r="C521" t="inlineStr" s="0">
        <is>
          <t>KANSAINVÄLINEN KEHITTÄMIS- JA YHTEISTYÖYHDISTYS BALTIC REGION RY</t>
        </is>
      </c>
      <c r="D521" s="2">
        <v>120000.0</v>
      </c>
      <c r="E521" s="2">
        <v>120000.0</v>
      </c>
      <c r="F521" s="2">
        <v>0.0</v>
      </c>
      <c r="G521" s="2">
        <v>100.0</v>
      </c>
      <c r="H521" s="2">
        <v>1</v>
      </c>
      <c r="I521" t="inlineStr" s="0">
        <is>
          <t>Ak 9647: Venäjänkielisten ikääntyneiden osallisuuden ja hyvinvoinnin lisäämiseen sekä kaksisuuntaisen kotoutumisen edistämiseen Turun seudulla.  Toimintamuotoina kerho- ja ryhmätoiminta, tapahtumat ja vapaaehtoistoiminta (Silta-Turku) (120 000 €)</t>
        </is>
      </c>
    </row>
    <row r="522">
      <c r="A522" s="2">
        <v>521</v>
      </c>
      <c r="B522" s="2">
        <v>1262</v>
      </c>
      <c r="C522" t="inlineStr" s="0">
        <is>
          <t>Porttiteatteri ry</t>
        </is>
      </c>
      <c r="D522" s="2">
        <v>120000.0</v>
      </c>
      <c r="E522" s="2">
        <v>120000.0</v>
      </c>
      <c r="F522" s="2">
        <v>0.0</v>
      </c>
      <c r="G522" s="2">
        <v>100.0</v>
      </c>
      <c r="H522" s="2">
        <v>1</v>
      </c>
      <c r="I522" t="inlineStr" s="0">
        <is>
          <t>Ak 9895: Vapautumisvaiheessa olevien, vapautuneiden vankien ja rikostaustaisten osallistujien yhteiskuntaan kiinnittymisen vahvistamiseen ja kuntouttamiseen yhteisöteatteritoiminnan avulla (120 000 €)</t>
        </is>
      </c>
    </row>
    <row r="523">
      <c r="A523" s="2">
        <v>522</v>
      </c>
      <c r="B523" s="2">
        <v>1045</v>
      </c>
      <c r="C523" t="inlineStr" s="0">
        <is>
          <t>KOILLISMAAN OMAISHOITAJAT JA LÄHEISET RY</t>
        </is>
      </c>
      <c r="D523" s="2">
        <v>119700.0</v>
      </c>
      <c r="E523" s="2">
        <v>119700.0</v>
      </c>
      <c r="F523" s="2">
        <v>0.0</v>
      </c>
      <c r="G523" s="2">
        <v>100.0</v>
      </c>
      <c r="H523" s="2">
        <v>1</v>
      </c>
      <c r="I523" t="inlineStr" s="0">
        <is>
          <t>Ak 3130: Omaishoitajien toimintakyvyn tukemiseen tiedottamisen, neuvonnan, vertaistoiminnan ja valmennusten avulla Kuusamossa, Taivalkoskella, Posiolla ja Pudasjärvellä  (OmaisOiva) (119 700 €)</t>
        </is>
      </c>
    </row>
    <row r="524">
      <c r="A524" s="2">
        <v>523</v>
      </c>
      <c r="B524" s="2">
        <v>504</v>
      </c>
      <c r="C524" t="inlineStr" s="0">
        <is>
          <t>Marjatta-Säätiö sr</t>
        </is>
      </c>
      <c r="D524" s="2">
        <v>119700.0</v>
      </c>
      <c r="E524" s="2">
        <v>119700.0</v>
      </c>
      <c r="F524" s="2">
        <v>0.0</v>
      </c>
      <c r="G524" s="2">
        <v>100.0</v>
      </c>
      <c r="H524" s="2">
        <v>1</v>
      </c>
      <c r="I524" t="inlineStr" s="0">
        <is>
          <t>Ak 2: Ikääntyneiden mielenterveyden, toimintakyvyn ja osallisuuden edistämiseen ryhmä- ja yksilötoiminnan keinoin (Mielenterveysyhteisöt Havurasti ja Myyrasti) (119 700 €)</t>
        </is>
      </c>
    </row>
    <row r="525">
      <c r="A525" s="2">
        <v>524</v>
      </c>
      <c r="B525" s="2">
        <v>819</v>
      </c>
      <c r="C525" t="inlineStr" s="0">
        <is>
          <t>Pirkanmaan Allergia-, Iho- ja Astmayhdistys ry</t>
        </is>
      </c>
      <c r="D525" s="2">
        <v>118000.0</v>
      </c>
      <c r="E525" s="2">
        <v>118000.0</v>
      </c>
      <c r="F525" s="2">
        <v>0.0</v>
      </c>
      <c r="G525" s="2">
        <v>100.0</v>
      </c>
      <c r="H525" s="2">
        <v>1</v>
      </c>
      <c r="I525" t="inlineStr" s="0">
        <is>
          <t>Ak 2: Ruoka-aineallergiaperheiden vertaistuki- ja virkistystoimintaan, ruoka-allergianeuvontaan ja -ohjaukseen, kohderyhmän edunvalvontaan sekä verkkopalveluiden ylläpitämiseen (118 000 €)</t>
        </is>
      </c>
    </row>
    <row r="526">
      <c r="A526" s="2">
        <v>525</v>
      </c>
      <c r="B526" s="2">
        <v>166</v>
      </c>
      <c r="C526" t="inlineStr" s="0">
        <is>
          <t>PLAN SUOMI SÄÄTIÖ</t>
        </is>
      </c>
      <c r="D526" s="2">
        <v>117233.0</v>
      </c>
      <c r="E526" s="2">
        <v>117233.0</v>
      </c>
      <c r="F526" s="2">
        <v>0.0</v>
      </c>
      <c r="G526" s="2">
        <v>100.0</v>
      </c>
      <c r="H526" s="2">
        <v>2</v>
      </c>
      <c r="I526" t="inlineStr" s="0">
        <is>
          <t>Ak 2257: Oppivelvollisuuden loppupuolella Suomeen muuttaneiden maahanmuuttajataustaisten nuorten integroitumisen tukemiseen vertaistyön, yksilöohjauksen ja tulevaisuuden suunnittelun tukemisen avulla Helsingin, Espoon ja Vantaan alueella (74 970 €) | Ak 6198: Oppivelvollisuusiän loppupuolella Suomeen tulleiden maahanmuuttajanuorten ja nuorten aikuisten yhteiskunnallisten osallistumismahdollisuuksien vahvistamiseen oppituntivierailujen ja vapaa-ajan toimintojen sekä asiantuntijaosaamisen lisäämisellä avulla  (Muuttajat!) (42 263 €)</t>
        </is>
      </c>
    </row>
    <row r="527">
      <c r="A527" s="2">
        <v>526</v>
      </c>
      <c r="B527" s="2">
        <v>570</v>
      </c>
      <c r="C527" t="inlineStr" s="0">
        <is>
          <t>Imatran Monikulttuuriyhdistys Kipinä ry</t>
        </is>
      </c>
      <c r="D527" s="2">
        <v>116865.0</v>
      </c>
      <c r="E527" s="2">
        <v>116865.0</v>
      </c>
      <c r="F527" s="2">
        <v>0.0</v>
      </c>
      <c r="G527" s="2">
        <v>100.0</v>
      </c>
      <c r="H527" s="2">
        <v>1</v>
      </c>
      <c r="I527" t="inlineStr" s="0">
        <is>
          <t>Ak 1: Kaksisuuntaisen kotoutumisen ja maahanmuuttajataustaisten henkilöiden osallisuuden, hyvinvoinnin ja toimintakyvyn edistämiseen kohtaamispaikkatoiminnan avulla.  Toimintamuotoina neuvonta, yksilöohjaus, ryhmätoiminta, palveluohjaus, vapaaehtoistoiminta, tapahtumat ja matalan kynnyksen kohtaamispaikkatoiminta (116 865 €)</t>
        </is>
      </c>
    </row>
    <row r="528">
      <c r="A528" s="2">
        <v>527</v>
      </c>
      <c r="B528" s="2">
        <v>1092</v>
      </c>
      <c r="C528" t="inlineStr" s="0">
        <is>
          <t>LINTULAMMEN ASUKASYHDISTYS RY</t>
        </is>
      </c>
      <c r="D528" s="2">
        <v>115762.0</v>
      </c>
      <c r="E528" s="2">
        <v>115762.0</v>
      </c>
      <c r="F528" s="2">
        <v>0.0</v>
      </c>
      <c r="G528" s="2">
        <v>100.0</v>
      </c>
      <c r="H528" s="2">
        <v>1</v>
      </c>
      <c r="I528" t="inlineStr" s="0">
        <is>
          <t>Ak 3: Ikääntyneiden, työttömien ja lapsiperheiden osallisuuden lisäämiseen ja syrjäytymisen ehkäisyyn matalan kynnyksen kohtaamis- ja osallistumispaikkatoiminnalla (115 762 €)</t>
        </is>
      </c>
    </row>
    <row r="529">
      <c r="A529" s="2">
        <v>528</v>
      </c>
      <c r="B529" s="2">
        <v>1112</v>
      </c>
      <c r="C529" t="inlineStr" s="0">
        <is>
          <t>Iisalmen Mielenterveystuki r.y.</t>
        </is>
      </c>
      <c r="D529" s="2">
        <v>115500.0</v>
      </c>
      <c r="E529" s="2">
        <v>115500.0</v>
      </c>
      <c r="F529" s="2">
        <v>0.0</v>
      </c>
      <c r="G529" s="2">
        <v>100.0</v>
      </c>
      <c r="H529" s="2">
        <v>1</v>
      </c>
      <c r="I529" t="inlineStr" s="0">
        <is>
          <t>Ak 1: Mielenterveyskuntoutujien hyvinvointia ja toimintakykyä vahvistavan matalan kynnyksen kohtaamispaikan, vertaisryhmien ja vapaaehtoistoiminnan toteuttamiseen Iisalmessa (Louhentupa) (115 500 €)</t>
        </is>
      </c>
    </row>
    <row r="530">
      <c r="A530" s="2">
        <v>529</v>
      </c>
      <c r="B530" s="2">
        <v>559</v>
      </c>
      <c r="C530" t="inlineStr" s="0">
        <is>
          <t>TORNION ASUNTOPALVELUSÄÄTIÖ</t>
        </is>
      </c>
      <c r="D530" s="2">
        <v>115500.0</v>
      </c>
      <c r="E530" s="2">
        <v>115500.0</v>
      </c>
      <c r="F530" s="2">
        <v>0.0</v>
      </c>
      <c r="G530" s="2">
        <v>100.0</v>
      </c>
      <c r="H530" s="2">
        <v>1</v>
      </c>
      <c r="I530" t="inlineStr" s="0">
        <is>
          <t>Ak 1: Työikäisten sosiaalisen verkoston vahvistamiseen ja hyvinvoinnin edistämiseen kohtaamispaikka- ja ryhmätoiminnalla sekä vapaaehtoistoiminnan koordinointiin (Meän talo) (115 500 €)</t>
        </is>
      </c>
    </row>
    <row r="531">
      <c r="A531" s="2">
        <v>530</v>
      </c>
      <c r="B531" s="2">
        <v>401</v>
      </c>
      <c r="C531" t="inlineStr" s="0">
        <is>
          <t>Turun Seudun Nivelyhdistys ry, Åbonejdens Artrosförening rf</t>
        </is>
      </c>
      <c r="D531" s="2">
        <v>115431.0</v>
      </c>
      <c r="E531" s="2">
        <v>115431.0</v>
      </c>
      <c r="F531" s="2">
        <v>0.0</v>
      </c>
      <c r="G531" s="2">
        <v>100.0</v>
      </c>
      <c r="H531" s="2">
        <v>1</v>
      </c>
      <c r="I531" t="inlineStr" s="0">
        <is>
          <t>Ak 2657: Yhdistyksen vertais- ja vapaaehtoistoiminnan koordinointiin sekä Nivelverkko.fi -sivuston ylläpitoon (115 431 €)</t>
        </is>
      </c>
    </row>
    <row r="532">
      <c r="A532" s="2">
        <v>531</v>
      </c>
      <c r="B532" s="2">
        <v>745</v>
      </c>
      <c r="C532" t="inlineStr" s="0">
        <is>
          <t>LOIMAAN SEUDUN OMAISHOITAJAT JA LÄHEISET RY</t>
        </is>
      </c>
      <c r="D532" s="2">
        <v>115000.0</v>
      </c>
      <c r="E532" s="2">
        <v>115000.0</v>
      </c>
      <c r="F532" s="2">
        <v>0.0</v>
      </c>
      <c r="G532" s="2">
        <v>100.0</v>
      </c>
      <c r="H532" s="2">
        <v>1</v>
      </c>
      <c r="I532" t="inlineStr" s="0">
        <is>
          <t>Ak 2: Omaishoitajien toimintakyvyn tukemiseen tiedottamisen, neuvonnan, vertaistoiminnan ja valmennusten avulla Loimaan seudulla (OmaisOiva) (115 000 €)</t>
        </is>
      </c>
    </row>
    <row r="533">
      <c r="A533" s="2">
        <v>532</v>
      </c>
      <c r="B533" s="2">
        <v>153</v>
      </c>
      <c r="C533" t="inlineStr" s="0">
        <is>
          <t>Suomen Ulkomaanoperaatioiden Veteraaniliitto ry</t>
        </is>
      </c>
      <c r="D533" s="2">
        <v>115000.0</v>
      </c>
      <c r="E533" s="2">
        <v>115000.0</v>
      </c>
      <c r="F533" s="2">
        <v>0.0</v>
      </c>
      <c r="G533" s="2">
        <v>100.0</v>
      </c>
      <c r="H533" s="2">
        <v>1</v>
      </c>
      <c r="I533" t="inlineStr" s="0">
        <is>
          <t>Ak 2543: Sotatoimi- ja kriisialueilla työskennelleiden rauhanturvaajien ja heidän läheistensä toimintakyvyn edistämiseen vertaistoiminnan keinoin (115 000 €)</t>
        </is>
      </c>
    </row>
    <row r="534">
      <c r="A534" s="2">
        <v>533</v>
      </c>
      <c r="B534" s="2">
        <v>994</v>
      </c>
      <c r="C534" t="inlineStr" s="0">
        <is>
          <t>Pohjois-Karjalan Työttömät ry</t>
        </is>
      </c>
      <c r="D534" s="2">
        <v>113357.0</v>
      </c>
      <c r="E534" s="2">
        <v>113357.0</v>
      </c>
      <c r="F534" s="2">
        <v>0.0</v>
      </c>
      <c r="G534" s="2">
        <v>100.0</v>
      </c>
      <c r="H534" s="2">
        <v>1</v>
      </c>
      <c r="I534" t="inlineStr" s="0">
        <is>
          <t>Ak 1: Työttömien elämänhallinnan ja toimintakyvyn vahvistamiseen matalan kynnyksen neuvontatoiminnalla ja palveluohjauksella Pohjois-Karjalassa (TYYNE) (113 357 €)</t>
        </is>
      </c>
    </row>
    <row r="535">
      <c r="A535" s="2">
        <v>534</v>
      </c>
      <c r="B535" s="2">
        <v>557</v>
      </c>
      <c r="C535" t="inlineStr" s="0">
        <is>
          <t>KARUNGIN PALVELUKOTI RY</t>
        </is>
      </c>
      <c r="D535" s="2">
        <v>112223.0</v>
      </c>
      <c r="E535" s="2">
        <v>112223.0</v>
      </c>
      <c r="F535" s="2">
        <v>0.0</v>
      </c>
      <c r="G535" s="2">
        <v>100.0</v>
      </c>
      <c r="H535" s="2">
        <v>1</v>
      </c>
      <c r="I535" t="inlineStr" s="0">
        <is>
          <t>Ak 5609: Yli 60-vuotiaiden osallisuuden, yhteisöllisyyden ja hyvinvoinnin vahvistamiseen kohtaamispaikan, yksilö- ja ryhmätoiminnan, ohjauksen, neuvonnan, vapaaehtois- ja vertaistoiminnan sekä etsivän vanhustyön keinoin (Torniotupa &amp; Keminmaatupa - Senioreiden olohuone) (112 223 €)</t>
        </is>
      </c>
    </row>
    <row r="536">
      <c r="A536" s="2">
        <v>535</v>
      </c>
      <c r="B536" s="2">
        <v>584</v>
      </c>
      <c r="C536" t="inlineStr" s="0">
        <is>
          <t>VUOKSENLAAKSON VAMMAIS- JA PERHETYÖ RY</t>
        </is>
      </c>
      <c r="D536" s="2">
        <v>111174.0</v>
      </c>
      <c r="E536" s="2">
        <v>111174.0</v>
      </c>
      <c r="F536" s="2">
        <v>0.0</v>
      </c>
      <c r="G536" s="2">
        <v>100.0</v>
      </c>
      <c r="H536" s="2">
        <v>1</v>
      </c>
      <c r="I536" t="inlineStr" s="0">
        <is>
          <t>Ak 10: Vauvaperheiden vanhemmuuden ja vuorovaikutuksen ryhmämuotoiseen tukemiseen (Vauvaperheryhmä Liekku) sekä vauvoja ja vauvaperheitä koskettavien asioiden esiin tuomiseen (111 174 €)</t>
        </is>
      </c>
    </row>
    <row r="537">
      <c r="A537" s="2">
        <v>536</v>
      </c>
      <c r="B537" s="2">
        <v>300</v>
      </c>
      <c r="C537" t="inlineStr" s="0">
        <is>
          <t>TURUN A-KILTA RY</t>
        </is>
      </c>
      <c r="D537" s="2">
        <v>111112.0</v>
      </c>
      <c r="E537" s="2">
        <v>111112.0</v>
      </c>
      <c r="F537" s="2">
        <v>0.0</v>
      </c>
      <c r="G537" s="2">
        <v>100.0</v>
      </c>
      <c r="H537" s="2">
        <v>1</v>
      </c>
      <c r="I537" t="inlineStr" s="0">
        <is>
          <t>Ak 2: Päihteettömyyttä tukevan matalan kynnyksen toimintakeskus Pääskyn vapaaehtois- ja vertaispohjaiseen toimintaan (111 112 €)</t>
        </is>
      </c>
    </row>
    <row r="538">
      <c r="A538" s="2">
        <v>537</v>
      </c>
      <c r="B538" s="2">
        <v>192</v>
      </c>
      <c r="C538" t="inlineStr" s="0">
        <is>
          <t>KUOPION SEUDUN NUORISOASUNNOT RY</t>
        </is>
      </c>
      <c r="D538" s="2">
        <v>111000.0</v>
      </c>
      <c r="E538" s="2">
        <v>111000.0</v>
      </c>
      <c r="F538" s="2">
        <v>0.0</v>
      </c>
      <c r="G538" s="2">
        <v>100.0</v>
      </c>
      <c r="H538" s="2">
        <v>2</v>
      </c>
      <c r="I538" t="inlineStr" s="0">
        <is>
          <t>Ak 7683: Jälkihuollon ulkopuolella olevien lastensuojelutaustaisten 18-29 -vuotiaiden nuorten aikuisten asunnottomuuden ehkäisemiseen ja vähentämiseen yksilötuki- ja vertaisryhmätoiminnan avulla  (SOMA Kuopio) (60 000 €) | Ak 1: Erityistä tukea tarvitsevien nuorten asunnottomuuden ehkäisyyn asumisohjauksella ja -neuvonnalla Kuopiossa (51 000 €)</t>
        </is>
      </c>
    </row>
    <row r="539">
      <c r="A539" s="2">
        <v>538</v>
      </c>
      <c r="B539" s="2">
        <v>685</v>
      </c>
      <c r="C539" t="inlineStr" s="0">
        <is>
          <t>KIVIRANNAN SENIORITALO RY</t>
        </is>
      </c>
      <c r="D539" s="2">
        <v>110250.0</v>
      </c>
      <c r="E539" s="2">
        <v>110250.0</v>
      </c>
      <c r="F539" s="2">
        <v>0.0</v>
      </c>
      <c r="G539" s="2">
        <v>100.0</v>
      </c>
      <c r="H539" s="2">
        <v>1</v>
      </c>
      <c r="I539" t="inlineStr" s="0">
        <is>
          <t>Ak 2: Kotona asuvien senioreiden ja vapaaehtoisten osallisuuden ja hyvinvoinnin edistämiseen kiertävän kohtaamispaikkatoiminnan, ryhmätoiminnan ja tapahtumien keinoin (SenioriPiste Tornio) (110 250 €)</t>
        </is>
      </c>
    </row>
    <row r="540">
      <c r="A540" s="2">
        <v>539</v>
      </c>
      <c r="B540" s="2">
        <v>18</v>
      </c>
      <c r="C540" t="inlineStr" s="0">
        <is>
          <t>SUOMEN PELASTUSALAN KESKUSJÄRJESTÖ RY</t>
        </is>
      </c>
      <c r="D540" s="2">
        <v>110250.0</v>
      </c>
      <c r="E540" s="2">
        <v>0.0</v>
      </c>
      <c r="F540" s="2">
        <v>110250.0</v>
      </c>
      <c r="G540" s="2">
        <v>0.0</v>
      </c>
      <c r="H540" s="2">
        <v>1</v>
      </c>
      <c r="I540" t="inlineStr" s="0">
        <is>
          <t>Ay 1: Yleisavustuksena avustuksen saajan yleishyödylliseen toimintaan (110 250 €)</t>
        </is>
      </c>
    </row>
    <row r="541">
      <c r="A541" s="2">
        <v>540</v>
      </c>
      <c r="B541" s="2">
        <v>135</v>
      </c>
      <c r="C541" t="inlineStr" s="0">
        <is>
          <t>Varsinais-Suomen Sydänpiiri ry</t>
        </is>
      </c>
      <c r="D541" s="2">
        <v>110200.0</v>
      </c>
      <c r="E541" s="2">
        <v>110200.0</v>
      </c>
      <c r="F541" s="2">
        <v>0.0</v>
      </c>
      <c r="G541" s="2">
        <v>100.0</v>
      </c>
      <c r="H541" s="2">
        <v>2</v>
      </c>
      <c r="I541" t="inlineStr" s="0">
        <is>
          <t>Ak 12284: Sydäntuki -toiminnan ylläpitämiseen Tyks Sydänkeskuksen toimipisteissä, vertaistoiminnan vahvistamiseen sekä sydänjärjestön toiminnan vahvistamiseen osana sydänpotilaan hoitoketjua Varsinais-Suomessa (2024–2026) (95 200 €) | Ak 6442: Jäsenjärjestöille kohdistettaviin avustuksiin (15 000 €)</t>
        </is>
      </c>
    </row>
    <row r="542">
      <c r="A542" s="2">
        <v>541</v>
      </c>
      <c r="B542" s="2">
        <v>1559</v>
      </c>
      <c r="C542" t="inlineStr" s="0">
        <is>
          <t>OMAKOTISÄÄTIÖ</t>
        </is>
      </c>
      <c r="D542" s="2">
        <v>110000.0</v>
      </c>
      <c r="E542" s="2">
        <v>110000.0</v>
      </c>
      <c r="F542" s="2">
        <v>0.0</v>
      </c>
      <c r="G542" s="2">
        <v>100.0</v>
      </c>
      <c r="H542" s="2">
        <v>1</v>
      </c>
      <c r="I542" t="inlineStr" s="0">
        <is>
          <t>Ak 10081: Osattomuutta ja yksinäisyyttä kokevien ikääntyneiden osallisuuden lisäämiseen ja toimintakyvyn ylläpitämiseen etsivän vanhustyön, yhteisöllisen toiminnan, vapaaehtoistoiminnan ja verkostoyhteistyön keinoin Itä-Helsingissä (ILO-toiminta) (110 000 €)</t>
        </is>
      </c>
    </row>
    <row r="543">
      <c r="A543" s="2">
        <v>542</v>
      </c>
      <c r="B543" s="2">
        <v>1036</v>
      </c>
      <c r="C543" t="inlineStr" s="0">
        <is>
          <t>Colores-Suomen Suolistosyöpäyhdistys ry, Colores-Finlands Kolorektalcancerförening rf</t>
        </is>
      </c>
      <c r="D543" s="2">
        <v>109990.0</v>
      </c>
      <c r="E543" s="2">
        <v>109990.0</v>
      </c>
      <c r="F543" s="2">
        <v>0.0</v>
      </c>
      <c r="G543" s="2">
        <v>100.0</v>
      </c>
      <c r="H543" s="2">
        <v>1</v>
      </c>
      <c r="I543" t="inlineStr" s="0">
        <is>
          <t>Ak 3: Suolistosyöpäpotilaiden ja heidän läheistensä sekä Lynchin syndroomaa sairastavien vertaistuki- ja neuvontatoimintaan (109 990 €)</t>
        </is>
      </c>
    </row>
    <row r="544">
      <c r="A544" s="2">
        <v>543</v>
      </c>
      <c r="B544" s="2">
        <v>697</v>
      </c>
      <c r="C544" t="inlineStr" s="0">
        <is>
          <t>KAJAANIN TYÖVOIMAYHDISTYS RY</t>
        </is>
      </c>
      <c r="D544" s="2">
        <v>109740.0</v>
      </c>
      <c r="E544" s="2">
        <v>109740.0</v>
      </c>
      <c r="F544" s="2">
        <v>0.0</v>
      </c>
      <c r="G544" s="2">
        <v>100.0</v>
      </c>
      <c r="H544" s="2">
        <v>1</v>
      </c>
      <c r="I544" t="inlineStr" s="0">
        <is>
          <t>Ak 5: Työttömien ja ikääntyvien henkilöiden sekä erityisesti pakolais- ja turvapaikanhakijataustaisten maahanmuuttajien elämänhallinnan, toimintakyvyn ja osallisuuden vahvistamiseen matalan kynnyksen ohjaus-, neuvonta- ja ryhmätoiminnoilla Kajaanissa (109 740 €)</t>
        </is>
      </c>
    </row>
    <row r="545">
      <c r="A545" s="2">
        <v>544</v>
      </c>
      <c r="B545" s="2">
        <v>261</v>
      </c>
      <c r="C545" t="inlineStr" s="0">
        <is>
          <t>Elämä ja Valo ry</t>
        </is>
      </c>
      <c r="D545" s="2">
        <v>109148.0</v>
      </c>
      <c r="E545" s="2">
        <v>109148.0</v>
      </c>
      <c r="F545" s="2">
        <v>0.0</v>
      </c>
      <c r="G545" s="2">
        <v>100.0</v>
      </c>
      <c r="H545" s="2">
        <v>1</v>
      </c>
      <c r="I545" t="inlineStr" s="0">
        <is>
          <t>Ak 2: Romaniväestön osallisuuden ja arjen hyvinvoinnin vahvistamiseen perhetyön, tapahtumien, koulutuksen, yksilöllisen tuen ja palveluohjauksen sekä ryhmätoiminnan avulla (Fentide diives) (109 148 €)</t>
        </is>
      </c>
    </row>
    <row r="546">
      <c r="A546" s="2">
        <v>545</v>
      </c>
      <c r="B546" s="2">
        <v>2394</v>
      </c>
      <c r="C546" t="inlineStr" s="0">
        <is>
          <t>Kuhmon Työvire Ry</t>
        </is>
      </c>
      <c r="D546" s="2">
        <v>108012.0</v>
      </c>
      <c r="E546" s="2">
        <v>0.0</v>
      </c>
      <c r="F546" s="2">
        <v>108012.0</v>
      </c>
      <c r="G546" s="2">
        <v>0.0</v>
      </c>
      <c r="H546" s="2">
        <v>1</v>
      </c>
      <c r="I546" t="inlineStr" s="0">
        <is>
          <t>C 13718: Euroopan sosiaalirahasto plussan (ESR+) hankkeen "Kuhmon Toivo: toivoa, toimintaa ja terveyttä" (210453) osarahoitukseen järjestölle (2026-2028) (108 012 €)</t>
        </is>
      </c>
    </row>
    <row r="547">
      <c r="A547" s="2">
        <v>546</v>
      </c>
      <c r="B547" s="2">
        <v>671</v>
      </c>
      <c r="C547" t="inlineStr" s="0">
        <is>
          <t>SYDÄN - JA KEUHKOSIIRROKKAAT-SYKE RY</t>
        </is>
      </c>
      <c r="D547" s="2">
        <v>107959.0</v>
      </c>
      <c r="E547" s="2">
        <v>107959.0</v>
      </c>
      <c r="F547" s="2">
        <v>0.0</v>
      </c>
      <c r="G547" s="2">
        <v>100.0</v>
      </c>
      <c r="H547" s="2">
        <v>1</v>
      </c>
      <c r="I547" t="inlineStr" s="0">
        <is>
          <t>Ak 12147: Sydän- tai keuhkosiirron saaneiden tai siirtoa odottavien, sydämen apupumpun kanssa elävien sekä heidän läheistensä hyvinvoinnin edistämiseen vertaistuki- ja tiedotustoiminnalla sekä vaikuttamistyöllä (107 959 €)</t>
        </is>
      </c>
    </row>
    <row r="548">
      <c r="A548" s="2">
        <v>547</v>
      </c>
      <c r="B548" s="2">
        <v>1076</v>
      </c>
      <c r="C548" t="inlineStr" s="0">
        <is>
          <t>KAINUUN NÄKÖVAMMAISET RY</t>
        </is>
      </c>
      <c r="D548" s="2">
        <v>107900.0</v>
      </c>
      <c r="E548" s="2">
        <v>107900.0</v>
      </c>
      <c r="F548" s="2">
        <v>0.0</v>
      </c>
      <c r="G548" s="2">
        <v>100.0</v>
      </c>
      <c r="H548" s="2">
        <v>1</v>
      </c>
      <c r="I548" t="inlineStr" s="0">
        <is>
          <t>Ak 1348: Näkövammaisten itsenäisen elämän tukemiseen ja osallisuuden edistämiseen vertaistuen, ryhmätoiminnan, saavutettavan tiedon ja digiohjauksen avulla Kainuussa (107 900 €)</t>
        </is>
      </c>
    </row>
    <row r="549">
      <c r="A549" s="2">
        <v>548</v>
      </c>
      <c r="B549" s="2">
        <v>1201</v>
      </c>
      <c r="C549" t="inlineStr" s="0">
        <is>
          <t>TORNION PERHEIDEN TALO RY</t>
        </is>
      </c>
      <c r="D549" s="2">
        <v>106680.0</v>
      </c>
      <c r="E549" s="2">
        <v>106680.0</v>
      </c>
      <c r="F549" s="2">
        <v>0.0</v>
      </c>
      <c r="G549" s="2">
        <v>100.0</v>
      </c>
      <c r="H549" s="2">
        <v>1</v>
      </c>
      <c r="I549" t="inlineStr" s="0">
        <is>
          <t>Ak 3252: Torniolaisten perheiden hyvinvoinnin tukemiseen ylläpitämällä kohtaamispaikka Perheiden Taloa sekä koordinoimalla ja toteuttamalla sen toimintaa (106 680 €)</t>
        </is>
      </c>
    </row>
    <row r="550">
      <c r="A550" s="2">
        <v>549</v>
      </c>
      <c r="B550" s="2">
        <v>568</v>
      </c>
      <c r="C550" t="inlineStr" s="0">
        <is>
          <t>Päijät-Hämeen sosiaali- ja terveysturva ry</t>
        </is>
      </c>
      <c r="D550" s="2">
        <v>105200.0</v>
      </c>
      <c r="E550" s="2">
        <v>105200.0</v>
      </c>
      <c r="F550" s="2">
        <v>0.0</v>
      </c>
      <c r="G550" s="2">
        <v>100.0</v>
      </c>
      <c r="H550" s="2">
        <v>1</v>
      </c>
      <c r="I550" t="inlineStr" s="0">
        <is>
          <t>Ak 13869: OLKA-toimintamallin mukaisen vapaaehtoistyön koordinointiin sekä sairastuneen toimintakyvyn vahvistamiseen Päijät-Hämeen hyvinvointialueella. (105 200 €)</t>
        </is>
      </c>
    </row>
    <row r="551">
      <c r="A551" s="2">
        <v>550</v>
      </c>
      <c r="B551" s="2">
        <v>989</v>
      </c>
      <c r="C551" t="inlineStr" s="0">
        <is>
          <t>HIIDEN ALUEEN KLUBITALOT RY</t>
        </is>
      </c>
      <c r="D551" s="2">
        <v>105000.0</v>
      </c>
      <c r="E551" s="2">
        <v>105000.0</v>
      </c>
      <c r="F551" s="2">
        <v>0.0</v>
      </c>
      <c r="G551" s="2">
        <v>100.0</v>
      </c>
      <c r="H551" s="2">
        <v>1</v>
      </c>
      <c r="I551" t="inlineStr" s="0">
        <is>
          <t>Ak 1: Psyykkisiä ongelmia kokeneiden mielen hyvinvoinnin, osallisuuden ja terveyden edistämiseen kohtaamispaikkatoiminnalla (105 000 €)</t>
        </is>
      </c>
    </row>
    <row r="552">
      <c r="A552" s="2">
        <v>551</v>
      </c>
      <c r="B552" s="2">
        <v>1082</v>
      </c>
      <c r="C552" t="inlineStr" s="0">
        <is>
          <t>NAL Itä-Uusimaa ry</t>
        </is>
      </c>
      <c r="D552" s="2">
        <v>104580.0</v>
      </c>
      <c r="E552" s="2">
        <v>104580.0</v>
      </c>
      <c r="F552" s="2">
        <v>0.0</v>
      </c>
      <c r="G552" s="2">
        <v>100.0</v>
      </c>
      <c r="H552" s="2">
        <v>1</v>
      </c>
      <c r="I552" t="inlineStr" s="0">
        <is>
          <t>Ak 1: Erityistä tukea tarvitsevien nuorten itsenäistymisen tukemiseen ja asunnottomuuden ehkäisyyn asumisohjauksella ja -neuvonnalla sekä ryhmätoiminnoilla Porvoossa ja Sipoossa (104 580 €)</t>
        </is>
      </c>
    </row>
    <row r="553">
      <c r="A553" s="2">
        <v>552</v>
      </c>
      <c r="B553" s="2">
        <v>2014</v>
      </c>
      <c r="C553" t="inlineStr" s="0">
        <is>
          <t>Työtaito ry</t>
        </is>
      </c>
      <c r="D553" s="2">
        <v>104000.0</v>
      </c>
      <c r="E553" s="2">
        <v>104000.0</v>
      </c>
      <c r="F553" s="2">
        <v>0.0</v>
      </c>
      <c r="G553" s="2">
        <v>100.0</v>
      </c>
      <c r="H553" s="2">
        <v>1</v>
      </c>
      <c r="I553" t="inlineStr" s="0">
        <is>
          <t>Ak 12290: Syrjäytymisvaarassa olevien nuorten aikuisten toimijuuden ja osallisuuden vahvistamiseen sekä yksinäisyyden vähentämiseen päihteettömällä nuorten aikuisten kohtaamispaikkatoiminnalla (NäittenPaikka) (104 000 €)</t>
        </is>
      </c>
    </row>
    <row r="554">
      <c r="A554" s="2">
        <v>553</v>
      </c>
      <c r="B554" s="2">
        <v>1276</v>
      </c>
      <c r="C554" t="inlineStr" s="0">
        <is>
          <t>Valo-Valmennusyhdistys ry</t>
        </is>
      </c>
      <c r="D554" s="2">
        <v>103704.0</v>
      </c>
      <c r="E554" s="2">
        <v>103704.0</v>
      </c>
      <c r="F554" s="2">
        <v>0.0</v>
      </c>
      <c r="G554" s="2">
        <v>100.0</v>
      </c>
      <c r="H554" s="2">
        <v>1</v>
      </c>
      <c r="I554" t="inlineStr" s="0">
        <is>
          <t>Ak 12350: Hankalassa elämäntilanteessa olevien henkilöiden elämänhallinnan ja itseluottamuksen tukemiseen sekä yksinäisyyden vähentämiseen kohtaamispaikkatoiminnan avulla Huittisissa. (103 704 €)</t>
        </is>
      </c>
    </row>
    <row r="555">
      <c r="A555" s="2">
        <v>554</v>
      </c>
      <c r="B555" s="2">
        <v>290</v>
      </c>
      <c r="C555" t="inlineStr" s="0">
        <is>
          <t>SVENSKA SEMESTERFÖRBUNDET I FINLAND</t>
        </is>
      </c>
      <c r="D555" s="2">
        <v>101940.0</v>
      </c>
      <c r="E555" s="2">
        <v>101940.0</v>
      </c>
      <c r="F555" s="2">
        <v>0.0</v>
      </c>
      <c r="G555" s="2">
        <v>100.0</v>
      </c>
      <c r="H555" s="2">
        <v>1</v>
      </c>
      <c r="I555" t="inlineStr" s="0">
        <is>
          <t>Ak 1: För social semesterverksamhet för familjer, närståendevårdare samt åldringar som har låg inkomst och behov av särskilt stöd. (101 940 €)</t>
        </is>
      </c>
    </row>
    <row r="556">
      <c r="A556" s="2">
        <v>555</v>
      </c>
      <c r="B556" s="2">
        <v>168</v>
      </c>
      <c r="C556" t="inlineStr" s="0">
        <is>
          <t>POHJOIS-SAVON NÄKÖVAMMAISET RY</t>
        </is>
      </c>
      <c r="D556" s="2">
        <v>101100.0</v>
      </c>
      <c r="E556" s="2">
        <v>101100.0</v>
      </c>
      <c r="F556" s="2">
        <v>0.0</v>
      </c>
      <c r="G556" s="2">
        <v>100.0</v>
      </c>
      <c r="H556" s="2">
        <v>1</v>
      </c>
      <c r="I556" t="inlineStr" s="0">
        <is>
          <t>Ak 1007: Näkövammaisten itsenäisen elämän tukemiseen ja osallisuuden edistämiseen vertaistuen, ryhmätoiminnan, saavutettavan tiedon ja digiohjauksen avulla Pohjois-Savossa (101 100 €)</t>
        </is>
      </c>
    </row>
    <row r="557">
      <c r="A557" s="2">
        <v>556</v>
      </c>
      <c r="B557" s="2">
        <v>124</v>
      </c>
      <c r="C557" t="inlineStr" s="0">
        <is>
          <t>Järjestökeskus Kitinen ry</t>
        </is>
      </c>
      <c r="D557" s="2">
        <v>100989.0</v>
      </c>
      <c r="E557" s="2">
        <v>100989.0</v>
      </c>
      <c r="F557" s="2">
        <v>0.0</v>
      </c>
      <c r="G557" s="2">
        <v>100.0</v>
      </c>
      <c r="H557" s="2">
        <v>1</v>
      </c>
      <c r="I557" t="inlineStr" s="0">
        <is>
          <t>Ak 3960: Järjestökeskustoiminnan ja kohtaamispaikan ylläpitämiseen ja kehittämiseen, järjestöjen toimintaedellytysten tukemiseen ja mahdollistamiseen sekä kuntalaisten osallistumisen ja vapaaehtoistyön aktivointiin Sodankylässä (Järjestökeskus - hyvinvoinnin ja yhteisöllisyyden vahvistajana) (100 989 €)</t>
        </is>
      </c>
    </row>
    <row r="558">
      <c r="A558" s="2">
        <v>557</v>
      </c>
      <c r="B558" s="2">
        <v>883</v>
      </c>
      <c r="C558" t="inlineStr" s="0">
        <is>
          <t>KAATUNEITTEN OMAISTEN LIITTO RY</t>
        </is>
      </c>
      <c r="D558" s="2">
        <v>100000.0</v>
      </c>
      <c r="E558" s="2">
        <v>100000.0</v>
      </c>
      <c r="F558" s="2">
        <v>0.0</v>
      </c>
      <c r="G558" s="2">
        <v>100.0</v>
      </c>
      <c r="H558" s="2">
        <v>1</v>
      </c>
      <c r="I558" t="inlineStr" s="0">
        <is>
          <t>Ak 11992: Sotaorpojen tunnetaitojen ja voimavarojen vahvistamiseen sekä yksinäisyyden lievittämiseen pienryhmätoiminnan, hyvinvointipäivien ja kahvikassitoiminnan keinoin (Vertaistukea sotaorvoille) (100 000 €)</t>
        </is>
      </c>
    </row>
    <row r="559">
      <c r="A559" s="2">
        <v>558</v>
      </c>
      <c r="B559" s="2">
        <v>656</v>
      </c>
      <c r="C559" t="inlineStr" s="0">
        <is>
          <t>LYHYTKASVUISET-KORTVÄXTA RY</t>
        </is>
      </c>
      <c r="D559" s="2">
        <v>99750.0</v>
      </c>
      <c r="E559" s="2">
        <v>99750.0</v>
      </c>
      <c r="F559" s="2">
        <v>0.0</v>
      </c>
      <c r="G559" s="2">
        <v>100.0</v>
      </c>
      <c r="H559" s="2">
        <v>1</v>
      </c>
      <c r="I559" t="inlineStr" s="0">
        <is>
          <t>Ak 10954: Lyhytkasvuisten ja heidän läheistensä tukemiseen vertaistoiminnan sekä neuvonnan ja ohjauksen keinoin. Yleisen tietouden lisäämiseen lyhytkasvuisuudesta sekä oikeuksien edistämiseen. (99 750 €)</t>
        </is>
      </c>
    </row>
    <row r="560">
      <c r="A560" s="2">
        <v>559</v>
      </c>
      <c r="B560" s="2">
        <v>1087</v>
      </c>
      <c r="C560" t="inlineStr" s="0">
        <is>
          <t>JOENSUUN PELASTAKAA LAPSET RY</t>
        </is>
      </c>
      <c r="D560" s="2">
        <v>99225.0</v>
      </c>
      <c r="E560" s="2">
        <v>99225.0</v>
      </c>
      <c r="F560" s="2">
        <v>0.0</v>
      </c>
      <c r="G560" s="2">
        <v>100.0</v>
      </c>
      <c r="H560" s="2">
        <v>1</v>
      </c>
      <c r="I560" t="inlineStr" s="0">
        <is>
          <t>Ak 1: Yksinäisten tai kaverisuhteissa ongelmia kokevien lasten ja nuorten pienryhmätoiminnan järjestämiseen (Minä olen tärkeä -pienryhmätoiminta) sekä perheiden vuorovaikutuksen, voimavarojen, jaksamisen, osallisuuden ja toimijuuden vahvistamiseen Myö yhessä! -perhetoiminnan kautta. (99 225 €)</t>
        </is>
      </c>
    </row>
    <row r="561">
      <c r="A561" s="2">
        <v>560</v>
      </c>
      <c r="B561" s="2">
        <v>487</v>
      </c>
      <c r="C561" t="inlineStr" s="0">
        <is>
          <t>TAMPEREEN NUORTEN NAISTEN KRISTILLINEN YHDISTYS RY</t>
        </is>
      </c>
      <c r="D561" s="2">
        <v>99167.0</v>
      </c>
      <c r="E561" s="2">
        <v>99167.0</v>
      </c>
      <c r="F561" s="2">
        <v>0.0</v>
      </c>
      <c r="G561" s="2">
        <v>100.0</v>
      </c>
      <c r="H561" s="2">
        <v>1</v>
      </c>
      <c r="I561" t="inlineStr" s="0">
        <is>
          <t>Ak 3137: Vaikeassa elämäntilanteessa olevien äitien ja lasten arjessa selviytymisen edistämiseen ryhmätoiminnan avulla (Itu-perhetyö) (99 167 €)</t>
        </is>
      </c>
    </row>
    <row r="562">
      <c r="A562" s="2">
        <v>561</v>
      </c>
      <c r="B562" s="2">
        <v>792</v>
      </c>
      <c r="C562" t="inlineStr" s="0">
        <is>
          <t>SUOMEN ROMANIYHDISTYS RY</t>
        </is>
      </c>
      <c r="D562" s="2">
        <v>99000.0</v>
      </c>
      <c r="E562" s="2">
        <v>99000.0</v>
      </c>
      <c r="F562" s="2">
        <v>0.0</v>
      </c>
      <c r="G562" s="2">
        <v>100.0</v>
      </c>
      <c r="H562" s="2">
        <v>1</v>
      </c>
      <c r="I562" t="inlineStr" s="0">
        <is>
          <t>Ak 12326: Romaninaisten terveyslukutaidon ja vaikutusmahdollisuuksien vahvistamiseen yksilöllisellä tuella, kokemusasiantuntija- ja vertaisryhmätoiminnalla sekä ammattilaisten kouluttamisella (Sastipe tukke - Terveyttä sinulle 2024-2026) (99 000 €)</t>
        </is>
      </c>
    </row>
    <row r="563">
      <c r="A563" s="2">
        <v>562</v>
      </c>
      <c r="B563" s="2">
        <v>106</v>
      </c>
      <c r="C563" t="inlineStr" s="0">
        <is>
          <t>JOENSUUN SEUDUN NUORISOASUNTOYHDISTYS RY</t>
        </is>
      </c>
      <c r="D563" s="2">
        <v>98532.0</v>
      </c>
      <c r="E563" s="2">
        <v>98532.0</v>
      </c>
      <c r="F563" s="2">
        <v>0.0</v>
      </c>
      <c r="G563" s="2">
        <v>100.0</v>
      </c>
      <c r="H563" s="2">
        <v>2</v>
      </c>
      <c r="I563" t="inlineStr" s="0">
        <is>
          <t>Ak 7587: Asunnottomuuden ehkäisemiseen ja vähentämiseen ammatillisen tukihenkilö-, vertaisryhmä- ja vapaaehtoistoiminnan keinoin lastensuojelutaustaisten 18–29-vuotiaiden keskuudessa  (SOMA Joensuu) (69 867 €) | Ak 1: Erityistä tukea tarvitsevien nuorten asunnottomuuden ehkäisyyn asumisohjauksella ja -neuvonnalla sekä ryhmätoiminnalla Joensuun seudulla (28 665 €)</t>
        </is>
      </c>
    </row>
    <row r="564">
      <c r="A564" s="2">
        <v>563</v>
      </c>
      <c r="B564" s="2">
        <v>949</v>
      </c>
      <c r="C564" t="inlineStr" s="0">
        <is>
          <t>EMPPIS RY</t>
        </is>
      </c>
      <c r="D564" s="2">
        <v>97650.0</v>
      </c>
      <c r="E564" s="2">
        <v>97650.0</v>
      </c>
      <c r="F564" s="2">
        <v>0.0</v>
      </c>
      <c r="G564" s="2">
        <v>100.0</v>
      </c>
      <c r="H564" s="2">
        <v>1</v>
      </c>
      <c r="I564" t="inlineStr" s="0">
        <is>
          <t>Ak 1: Matalan kynnyksen kohtaamispaikka- , ryhmä-, vapaaehtois- ja tukitoimintaan alueen asukkaille Jämsässä (97 650 €)</t>
        </is>
      </c>
    </row>
    <row r="565">
      <c r="A565" s="2">
        <v>564</v>
      </c>
      <c r="B565" s="2">
        <v>709</v>
      </c>
      <c r="C565" t="inlineStr" s="0">
        <is>
          <t>SUOMEN NIVELYHDISTYS RY</t>
        </is>
      </c>
      <c r="D565" s="2">
        <v>97020.0</v>
      </c>
      <c r="E565" s="2">
        <v>0.0</v>
      </c>
      <c r="F565" s="2">
        <v>97020.0</v>
      </c>
      <c r="G565" s="2">
        <v>0.0</v>
      </c>
      <c r="H565" s="2">
        <v>1</v>
      </c>
      <c r="I565" t="inlineStr" s="0">
        <is>
          <t>Ay 6415: Yleisavustuksena avustuksen saajan yleishyödylliseen toimintaan (97 020 €)</t>
        </is>
      </c>
    </row>
    <row r="566">
      <c r="A566" s="2">
        <v>565</v>
      </c>
      <c r="B566" s="2">
        <v>567</v>
      </c>
      <c r="C566" t="inlineStr" s="0">
        <is>
          <t>YHTEISESTÄ OVESTA RY</t>
        </is>
      </c>
      <c r="D566" s="2">
        <v>97000.0</v>
      </c>
      <c r="E566" s="2">
        <v>97000.0</v>
      </c>
      <c r="F566" s="2">
        <v>0.0</v>
      </c>
      <c r="G566" s="2">
        <v>100.0</v>
      </c>
      <c r="H566" s="2">
        <v>1</v>
      </c>
      <c r="I566" t="inlineStr" s="0">
        <is>
          <t>Ak 7508: Kotona asuvien ikäihmisten hyvinvoinnin ja osallisuuden edistämiseen ja yksinäisyyden ehkäisemiseen kohtaamispaikkojen sekä ryhmä- ja vertaistoiminnan avulla (Tutuksi Tuokiotuvalla - virtaa, välittämistä ja vertaistukea) (97 000 €)</t>
        </is>
      </c>
    </row>
    <row r="567">
      <c r="A567" s="2">
        <v>566</v>
      </c>
      <c r="B567" s="2">
        <v>520</v>
      </c>
      <c r="C567" t="inlineStr" s="0">
        <is>
          <t>LINNALAN SETLEMENTTI RY</t>
        </is>
      </c>
      <c r="D567" s="2">
        <v>96939.0</v>
      </c>
      <c r="E567" s="2">
        <v>96939.0</v>
      </c>
      <c r="F567" s="2">
        <v>0.0</v>
      </c>
      <c r="G567" s="2">
        <v>100.0</v>
      </c>
      <c r="H567" s="2">
        <v>2</v>
      </c>
      <c r="I567" t="inlineStr" s="0">
        <is>
          <t>Ak 4: Maahanmuuttajien arjen ja osallisuuden tukemiseen yksilöllistä tukea ja ryhmä- ja kerhotoimintaa sisältävällä kohtaamispaikkatoiminnalla (55 413 €) | Ak 3: Ikääntyneiden omaishoitoperheiden arjen kokonaisvaltaiseen tukemiseen yksilöllisen tuen, ryhmämuotoisen vertaistuen ja vapaaehtoistoiminnan keinoin (41 526 €)</t>
        </is>
      </c>
    </row>
    <row r="568">
      <c r="A568" s="2">
        <v>567</v>
      </c>
      <c r="B568" s="2">
        <v>368</v>
      </c>
      <c r="C568" t="inlineStr" s="0">
        <is>
          <t>POHJOIS-KARJALAN NÄKÖVAMMAISET RY</t>
        </is>
      </c>
      <c r="D568" s="2">
        <v>96700.0</v>
      </c>
      <c r="E568" s="2">
        <v>96700.0</v>
      </c>
      <c r="F568" s="2">
        <v>0.0</v>
      </c>
      <c r="G568" s="2">
        <v>100.0</v>
      </c>
      <c r="H568" s="2">
        <v>1</v>
      </c>
      <c r="I568" t="inlineStr" s="0">
        <is>
          <t>Ak 2: Näkövammaisten itsenäisen elämän tukemiseen ja osallisuuden edistämiseen vertaistuen, ryhmätoiminnan, saavutettavan tiedon ja digiohjauksen avulla Pohjois-Karjalassa (96 700 €)</t>
        </is>
      </c>
    </row>
    <row r="569">
      <c r="A569" s="2">
        <v>568</v>
      </c>
      <c r="B569" s="2">
        <v>785</v>
      </c>
      <c r="C569" t="inlineStr" s="0">
        <is>
          <t>MIELENTERVEYSYHDISTYS HYVINKÄÄN VERSO RY</t>
        </is>
      </c>
      <c r="D569" s="2">
        <v>96651.0</v>
      </c>
      <c r="E569" s="2">
        <v>96651.0</v>
      </c>
      <c r="F569" s="2">
        <v>0.0</v>
      </c>
      <c r="G569" s="2">
        <v>100.0</v>
      </c>
      <c r="H569" s="2">
        <v>1</v>
      </c>
      <c r="I569" t="inlineStr" s="0">
        <is>
          <t>Ak 1: Mielenterveyskuntoutujien mielenterveyden edistämiseen matalan kynnyksen kohtaamispaikan sekä ryhmä- ja vapaaehtoistoiminnan avulla Hyvinkään seudulla (Versotalo) (96 651 €)</t>
        </is>
      </c>
    </row>
    <row r="570">
      <c r="A570" s="2">
        <v>569</v>
      </c>
      <c r="B570" s="2">
        <v>791</v>
      </c>
      <c r="C570" t="inlineStr" s="0">
        <is>
          <t>Klubitalo Fontana ry / Klubbhus Fontana rf</t>
        </is>
      </c>
      <c r="D570" s="2">
        <v>96600.0</v>
      </c>
      <c r="E570" s="2">
        <v>96600.0</v>
      </c>
      <c r="F570" s="2">
        <v>0.0</v>
      </c>
      <c r="G570" s="2">
        <v>100.0</v>
      </c>
      <c r="H570" s="2">
        <v>1</v>
      </c>
      <c r="I570" t="inlineStr" s="0">
        <is>
          <t>Ak 1: För mötesplatsverksamhet som främjar hälsa, välbefinnande, delaktighet och återgång till arbets- och studielivet av rehabiliteringsklienter inom vården för psykisk hälsa (Fontana klubbhus i Karis) (96 600 €)</t>
        </is>
      </c>
    </row>
    <row r="571">
      <c r="A571" s="2">
        <v>570</v>
      </c>
      <c r="B571" s="2">
        <v>311</v>
      </c>
      <c r="C571" t="inlineStr" s="0">
        <is>
          <t>MONIKULTTUURISUUDEN EDISTÄMISYHDISTYS WALTER RY</t>
        </is>
      </c>
      <c r="D571" s="2">
        <v>96333.0</v>
      </c>
      <c r="E571" s="2">
        <v>96333.0</v>
      </c>
      <c r="F571" s="2">
        <v>0.0</v>
      </c>
      <c r="G571" s="2">
        <v>100.0</v>
      </c>
      <c r="H571" s="2">
        <v>2</v>
      </c>
      <c r="I571" t="inlineStr" s="0">
        <is>
          <t>Ak 6968: Syrjinnän vähentämiseen ja oppilaiden itsetuntemuksen ja sosiaalisten taitojen parantamiseen oppilaitoksissa järjestettävällä ryhmätoiminnalla  (KYTKE-toiminta) (57 000 €) | Ak 1: Lasten ja nuorten syrjäytymisen ehkäisemiseen taantuvilla lähiöalueilla ja toiminnan levittämiseen pääkaupunkiseudulla ja Tampereella (Urbaanit lapset ja nuoret) (39 333 €)</t>
        </is>
      </c>
    </row>
    <row r="572">
      <c r="A572" s="2">
        <v>571</v>
      </c>
      <c r="B572" s="2">
        <v>1061</v>
      </c>
      <c r="C572" t="inlineStr" s="0">
        <is>
          <t>RAUDASKYLÄN KRISTILLINEN OPISTO RY</t>
        </is>
      </c>
      <c r="D572" s="2">
        <v>94938.0</v>
      </c>
      <c r="E572" s="2">
        <v>94938.0</v>
      </c>
      <c r="F572" s="2">
        <v>0.0</v>
      </c>
      <c r="G572" s="2">
        <v>100.0</v>
      </c>
      <c r="H572" s="2">
        <v>1</v>
      </c>
      <c r="I572" t="inlineStr" s="0">
        <is>
          <t>Ak 7289: Alueellisen vapaaehtoistoiminnan ja järjestöjen yhteistyön tukemiseen verkostotyön, koulutuksen ja viestinnän avulla (94 938 €)</t>
        </is>
      </c>
    </row>
    <row r="573">
      <c r="A573" s="2">
        <v>572</v>
      </c>
      <c r="B573" s="2">
        <v>357</v>
      </c>
      <c r="C573" t="inlineStr" s="0">
        <is>
          <t>RAAHEN ENSI- JA TURVAKOTI RY</t>
        </is>
      </c>
      <c r="D573" s="2">
        <v>94842.0</v>
      </c>
      <c r="E573" s="2">
        <v>94842.0</v>
      </c>
      <c r="F573" s="2">
        <v>0.0</v>
      </c>
      <c r="G573" s="2">
        <v>100.0</v>
      </c>
      <c r="H573" s="2">
        <v>1</v>
      </c>
      <c r="I573" t="inlineStr" s="0">
        <is>
          <t>Ak 3: Yksilö- ja pari-, ja ryhmätyöskentelyyn lähi- tai parisuhdeväkivaltaa tai sen uhkaa kokeneiden henkilöiden kanssa sekä lähi - ja parisuhdeväkivallan tekijöiden kanssa. Lapsiperheitä tukevaan järjestölähtöiseen avopalvelutoimintaan (Ero lapsiperheessä -työ, yksilö- ja parityöskentely aikuisille ja ryhmätyöskentelyt lapsille, tenavatupa-, vauvaperheohjaus sekä vapaaehtoistoiminnan koordinointi) (94 842 €)</t>
        </is>
      </c>
    </row>
    <row r="574">
      <c r="A574" s="2">
        <v>573</v>
      </c>
      <c r="B574" s="2">
        <v>764</v>
      </c>
      <c r="C574" t="inlineStr" s="0">
        <is>
          <t>Varkauden Seudun Mielenterveysväki ry</t>
        </is>
      </c>
      <c r="D574" s="2">
        <v>94500.0</v>
      </c>
      <c r="E574" s="2">
        <v>94500.0</v>
      </c>
      <c r="F574" s="2">
        <v>0.0</v>
      </c>
      <c r="G574" s="2">
        <v>100.0</v>
      </c>
      <c r="H574" s="2">
        <v>1</v>
      </c>
      <c r="I574" t="inlineStr" s="0">
        <is>
          <t>Ak 1: Mielenterveyskuntoutujien hyvinvoinnin ja osallisuuden vahvistamiseen matalan kynnyksen kohtaamispaikan, vertaisryhmätoiminnan, neuvonnan ja tapahtumien avulla (Varkauden Mielitupa) (94 500 €)</t>
        </is>
      </c>
    </row>
    <row r="575">
      <c r="A575" s="2">
        <v>574</v>
      </c>
      <c r="B575" s="2">
        <v>1205</v>
      </c>
      <c r="C575" t="inlineStr" s="0">
        <is>
          <t>SUOMEN KUULO- JA TUKIKOIRAT RY</t>
        </is>
      </c>
      <c r="D575" s="2">
        <v>93975.0</v>
      </c>
      <c r="E575" s="2">
        <v>93975.0</v>
      </c>
      <c r="F575" s="2">
        <v>0.0</v>
      </c>
      <c r="G575" s="2">
        <v>100.0</v>
      </c>
      <c r="H575" s="2">
        <v>1</v>
      </c>
      <c r="I575" t="inlineStr" s="0">
        <is>
          <t>Ak 2: Kuulovammaisten ja pitkäaikaissairaiden toimintakyvyn, itsenäisyyden ja turvallisuuden tunteen parantamiseen kuulo- ja tukikoirien sekä sosiaalisen tuen koirien avulla (93 975 €)</t>
        </is>
      </c>
    </row>
    <row r="576">
      <c r="A576" s="2">
        <v>575</v>
      </c>
      <c r="B576" s="2">
        <v>392</v>
      </c>
      <c r="C576" t="inlineStr" s="0">
        <is>
          <t>Hyvinkään Nuorisoasuntoyhdistys ry</t>
        </is>
      </c>
      <c r="D576" s="2">
        <v>92700.0</v>
      </c>
      <c r="E576" s="2">
        <v>92700.0</v>
      </c>
      <c r="F576" s="2">
        <v>0.0</v>
      </c>
      <c r="G576" s="2">
        <v>100.0</v>
      </c>
      <c r="H576" s="2">
        <v>1</v>
      </c>
      <c r="I576" t="inlineStr" s="0">
        <is>
          <t>Ak 1: Erityistä tukea tarvitsevien nuorten asunnottomuuden ehkäisyyn tukemalla asumista ja elämänhallintaa asumisohjauksella ja -neuvonnalla sekä ryhmätoiminnalla Hyvinkäällä (92 700 €)</t>
        </is>
      </c>
    </row>
    <row r="577">
      <c r="A577" s="2">
        <v>576</v>
      </c>
      <c r="B577" s="2">
        <v>291</v>
      </c>
      <c r="C577" t="inlineStr" s="0">
        <is>
          <t>Keski-Pohjanmaan omaishoitajat ry</t>
        </is>
      </c>
      <c r="D577" s="2">
        <v>91964.0</v>
      </c>
      <c r="E577" s="2">
        <v>91964.0</v>
      </c>
      <c r="F577" s="2">
        <v>0.0</v>
      </c>
      <c r="G577" s="2">
        <v>100.0</v>
      </c>
      <c r="H577" s="2">
        <v>1</v>
      </c>
      <c r="I577" t="inlineStr" s="0">
        <is>
          <t>Ak 3: Omaishoitajien toimintakyvyn tukemiseen tiedottamisen, neuvonnan, vertaistoiminnan ja valmennusten avulla Keski-Pohjanmaalla (OmaisOiva) (91 964 €)</t>
        </is>
      </c>
    </row>
    <row r="578">
      <c r="A578" s="2">
        <v>577</v>
      </c>
      <c r="B578" s="2">
        <v>41</v>
      </c>
      <c r="C578" t="inlineStr" s="0">
        <is>
          <t>Järviseudun Omaishoitajat ry</t>
        </is>
      </c>
      <c r="D578" s="2">
        <v>91770.0</v>
      </c>
      <c r="E578" s="2">
        <v>91770.0</v>
      </c>
      <c r="F578" s="2">
        <v>0.0</v>
      </c>
      <c r="G578" s="2">
        <v>100.0</v>
      </c>
      <c r="H578" s="2">
        <v>1</v>
      </c>
      <c r="I578" t="inlineStr" s="0">
        <is>
          <t>Ak 1: Omaishoitajien toimintakyvyn tukemiseen tiedottamisen, neuvonnan, vertaistoiminnan ja valmennusten avulla Ähtärissä, Alajärvellä, Vimpelissä, Evijärvellä, Lappajärvellä, Soinissa, Alavudella ja Kuortaneella (OmaisOiva) (91 770 €)</t>
        </is>
      </c>
    </row>
    <row r="579">
      <c r="A579" s="2">
        <v>578</v>
      </c>
      <c r="B579" s="2">
        <v>1120</v>
      </c>
      <c r="C579" t="inlineStr" s="0">
        <is>
          <t>LÄÄKÄRIN SOSIAALINEN VASTUU RY</t>
        </is>
      </c>
      <c r="D579" s="2">
        <v>91750.0</v>
      </c>
      <c r="E579" s="2">
        <v>91750.0</v>
      </c>
      <c r="F579" s="2">
        <v>0.0</v>
      </c>
      <c r="G579" s="2">
        <v>100.0</v>
      </c>
      <c r="H579" s="2">
        <v>1</v>
      </c>
      <c r="I579" t="inlineStr" s="0">
        <is>
          <t>Ak 3323: Paperittomien henkilöiden terveyden edistämiseen neuvonnan, palveluohjauksen, vapaaehtoistoiminnan, verkostotyön, tiedottamisen sekä ammattilaisten osaamisen vahvistamisen avulla  (PapeTe-toiminta) (91 750 €)</t>
        </is>
      </c>
    </row>
    <row r="580">
      <c r="A580" s="2">
        <v>579</v>
      </c>
      <c r="B580" s="2">
        <v>222</v>
      </c>
      <c r="C580" t="inlineStr" s="0">
        <is>
          <t>OULUNSEUDUN NUORISOASUNTOYHDISTYS RY</t>
        </is>
      </c>
      <c r="D580" s="2">
        <v>90910.0</v>
      </c>
      <c r="E580" s="2">
        <v>90910.0</v>
      </c>
      <c r="F580" s="2">
        <v>0.0</v>
      </c>
      <c r="G580" s="2">
        <v>100.0</v>
      </c>
      <c r="H580" s="2">
        <v>1</v>
      </c>
      <c r="I580" t="inlineStr" s="0">
        <is>
          <t>Ak 1: Erityistä tukea tarvitsevien nuorten asumisen valmiuksien lisäämiseen, itsenäistymisen tukemiseen sekä asunnottomuuden ja häätöjen ennaltaehkäisyyn asumisen tieto- ja neuvontatyöllä sekä ryhmätoiminnoilla Oulun seudulla (Asumisen sisältöpalvelut) (90 910 €)</t>
        </is>
      </c>
    </row>
    <row r="581">
      <c r="A581" s="2">
        <v>580</v>
      </c>
      <c r="B581" s="2">
        <v>1034</v>
      </c>
      <c r="C581" t="inlineStr" s="0">
        <is>
          <t>MIINA SILLANPÄÄN SÄÄTIÖ</t>
        </is>
      </c>
      <c r="D581" s="2">
        <v>90242.0</v>
      </c>
      <c r="E581" s="2">
        <v>90242.0</v>
      </c>
      <c r="F581" s="2">
        <v>0.0</v>
      </c>
      <c r="G581" s="2">
        <v>100.0</v>
      </c>
      <c r="H581" s="2">
        <v>1</v>
      </c>
      <c r="I581" t="inlineStr" s="0">
        <is>
          <t>Ak 2: Ikääntyvien kehitysvammaisten toimintakyvyn ylläpitämiseen terveyskäyttäytymiseen vaikuttavan Keko-valmennuksen avulla (KEKO) (90 242 €)</t>
        </is>
      </c>
    </row>
    <row r="582">
      <c r="A582" s="2">
        <v>581</v>
      </c>
      <c r="B582" s="2">
        <v>936</v>
      </c>
      <c r="C582" t="inlineStr" s="0">
        <is>
          <t>Pohjois-Savon Syöpäyhdistys r.y.</t>
        </is>
      </c>
      <c r="D582" s="2">
        <v>90000.0</v>
      </c>
      <c r="E582" s="2">
        <v>90000.0</v>
      </c>
      <c r="F582" s="2">
        <v>0.0</v>
      </c>
      <c r="G582" s="2">
        <v>100.0</v>
      </c>
      <c r="H582" s="2">
        <v>1</v>
      </c>
      <c r="I582" t="inlineStr" s="0">
        <is>
          <t>Ak 2: Syöpään sairastuneiden ja heidän läheistensä tuki- ja neuvontatoimintaan sekä vertais- ja vapaaehtoistoimintaan (90 000 €)</t>
        </is>
      </c>
    </row>
    <row r="583">
      <c r="A583" s="2">
        <v>582</v>
      </c>
      <c r="B583" s="2">
        <v>643</v>
      </c>
      <c r="C583" t="inlineStr" s="0">
        <is>
          <t>JYVÄSKYLÄN A-KILTA RY</t>
        </is>
      </c>
      <c r="D583" s="2">
        <v>89303.0</v>
      </c>
      <c r="E583" s="2">
        <v>89303.0</v>
      </c>
      <c r="F583" s="2">
        <v>0.0</v>
      </c>
      <c r="G583" s="2">
        <v>100.0</v>
      </c>
      <c r="H583" s="2">
        <v>1</v>
      </c>
      <c r="I583" t="inlineStr" s="0">
        <is>
          <t>Ak 1: Vapaaehtoisuuteen ja vertaisuuteen perustuvaan matalan kynnyksen kohtaamispaikka- ja ryhmätoimintaan päihdekuntoutujille sekä heidän läheisilleen (89 303 €)</t>
        </is>
      </c>
    </row>
    <row r="584">
      <c r="A584" s="2">
        <v>583</v>
      </c>
      <c r="B584" s="2">
        <v>120</v>
      </c>
      <c r="C584" t="inlineStr" s="0">
        <is>
          <t>LAPTUOTE-SÄÄTIÖ</t>
        </is>
      </c>
      <c r="D584" s="2">
        <v>89000.0</v>
      </c>
      <c r="E584" s="2">
        <v>89000.0</v>
      </c>
      <c r="F584" s="2">
        <v>0.0</v>
      </c>
      <c r="G584" s="2">
        <v>100.0</v>
      </c>
      <c r="H584" s="2">
        <v>1</v>
      </c>
      <c r="I584" t="inlineStr" s="0">
        <is>
          <t>Ak 10844: Jalkautuvaa digitukea yksilöllisesti, ryhmässä sekä pop-up -tapahtumien avulla vammaisille  Etelä-Karjassa (Mie Ite- Digiä kaikille) (89 000 €)</t>
        </is>
      </c>
    </row>
    <row r="585">
      <c r="A585" s="2">
        <v>584</v>
      </c>
      <c r="B585" s="2">
        <v>340</v>
      </c>
      <c r="C585" t="inlineStr" s="0">
        <is>
          <t>SATAKUNNAN SYDÄNPIIRI RY</t>
        </is>
      </c>
      <c r="D585" s="2">
        <v>89000.0</v>
      </c>
      <c r="E585" s="2">
        <v>89000.0</v>
      </c>
      <c r="F585" s="2">
        <v>0.0</v>
      </c>
      <c r="G585" s="2">
        <v>100.0</v>
      </c>
      <c r="H585" s="2">
        <v>2</v>
      </c>
      <c r="I585" t="inlineStr" s="0">
        <is>
          <t>Ak 9798: Elintapaohjaukseen tarkoitetun Verkkopuntari-työkalun kehittämiseen ja kansalliseen ylläpitoon, ohjelman käytön tukemiseen sekä juurruttamiseen osaksi sote-rakenteita (78 000 €) | Ak 3771: Jäsenjärjestöille kohdistettaviin avustuksiin (11 000 €)</t>
        </is>
      </c>
    </row>
    <row r="586">
      <c r="A586" s="2">
        <v>585</v>
      </c>
      <c r="B586" s="2">
        <v>31</v>
      </c>
      <c r="C586" t="inlineStr" s="0">
        <is>
          <t>Suomen Somalia-verkosto ry</t>
        </is>
      </c>
      <c r="D586" s="2">
        <v>88240.0</v>
      </c>
      <c r="E586" s="2">
        <v>88240.0</v>
      </c>
      <c r="F586" s="2">
        <v>0.0</v>
      </c>
      <c r="G586" s="2">
        <v>100.0</v>
      </c>
      <c r="H586" s="2">
        <v>1</v>
      </c>
      <c r="I586" t="inlineStr" s="0">
        <is>
          <t>Ak 7334: Maahanmuuttajataustaisten nuorten työelämä- ja opintopolkujen tukemiseen sekä vaikuttamis- ja osallistumismahdollisuuksien lisäämiseen yksilöllisen tuen, koulutusten, ryhmätoiminnan ja tapahtumien avulla  (Impact Academy) (88 240 €)</t>
        </is>
      </c>
    </row>
    <row r="587">
      <c r="A587" s="2">
        <v>586</v>
      </c>
      <c r="B587" s="2">
        <v>864</v>
      </c>
      <c r="C587" t="inlineStr" s="0">
        <is>
          <t>Psykosociala föreningen Contact rf</t>
        </is>
      </c>
      <c r="D587" s="2">
        <v>88200.0</v>
      </c>
      <c r="E587" s="2">
        <v>88200.0</v>
      </c>
      <c r="F587" s="2">
        <v>0.0</v>
      </c>
      <c r="G587" s="2">
        <v>100.0</v>
      </c>
      <c r="H587" s="2">
        <v>1</v>
      </c>
      <c r="I587" t="inlineStr" s="0">
        <is>
          <t>Ak 1: För verksamheten av föreningens allaktivitetshus (88 200 €)</t>
        </is>
      </c>
    </row>
    <row r="588">
      <c r="A588" s="2">
        <v>587</v>
      </c>
      <c r="B588" s="2">
        <v>1140</v>
      </c>
      <c r="C588" t="inlineStr" s="0">
        <is>
          <t>SETLEMENTTI TUNTURILA RY</t>
        </is>
      </c>
      <c r="D588" s="2">
        <v>86000.0</v>
      </c>
      <c r="E588" s="2">
        <v>86000.0</v>
      </c>
      <c r="F588" s="2">
        <v>0.0</v>
      </c>
      <c r="G588" s="2">
        <v>100.0</v>
      </c>
      <c r="H588" s="2">
        <v>1</v>
      </c>
      <c r="I588" t="inlineStr" s="0">
        <is>
          <t>Ak 3: Lapsiperheiden hyvinvoinnin vahvistamiseen matalan kynnyksen toiminnoilla Koillis-Lapin alueella (Askel-toiminta) (86 000 €)</t>
        </is>
      </c>
    </row>
    <row r="589">
      <c r="A589" s="2">
        <v>588</v>
      </c>
      <c r="B589" s="2">
        <v>1011</v>
      </c>
      <c r="C589" t="inlineStr" s="0">
        <is>
          <t>PROPO SUOMEN ETURAUHASSYÖPÄYHDISTYS RY, PROPO FINLANDS PROSTATACANCERFÖRENING RF</t>
        </is>
      </c>
      <c r="D589" s="2">
        <v>84000.0</v>
      </c>
      <c r="E589" s="2">
        <v>84000.0</v>
      </c>
      <c r="F589" s="2">
        <v>0.0</v>
      </c>
      <c r="G589" s="2">
        <v>100.0</v>
      </c>
      <c r="H589" s="2">
        <v>1</v>
      </c>
      <c r="I589" t="inlineStr" s="0">
        <is>
          <t>Ak 4: Eturauhassyöpäpotilaiden vertaistuki- ja neuvontatoimintaan (84 000 €)</t>
        </is>
      </c>
    </row>
    <row r="590">
      <c r="A590" s="2">
        <v>589</v>
      </c>
      <c r="B590" s="2">
        <v>869</v>
      </c>
      <c r="C590" t="inlineStr" s="0">
        <is>
          <t>SAVONLINNAN SEUDUN MUISTIYHDISTYS RY</t>
        </is>
      </c>
      <c r="D590" s="2">
        <v>84000.0</v>
      </c>
      <c r="E590" s="2">
        <v>84000.0</v>
      </c>
      <c r="F590" s="2">
        <v>0.0</v>
      </c>
      <c r="G590" s="2">
        <v>100.0</v>
      </c>
      <c r="H590" s="2">
        <v>1</v>
      </c>
      <c r="I590" t="inlineStr" s="0">
        <is>
          <t>Ak 6549: Savonlinnan seudun ikääntyvän väestön järjestölähtöisen aivo- ja muistiterveyden edistämistyöhön järjestämällä vertaistuellista ja osallisuutta edistävää ryhmätoimintaa ja vapaaehtoistoimintaa. Vapaaehtoistoimijoiden kouluttamiseen ja tukemiseen sekä yhteistyöhön ja vaikuttamistyöhön. (Sillanrakentaja -järjestölähtöisen aivo- ja muistiterveyden edistäminen Savonlinnan seudulla) (84 000 €)</t>
        </is>
      </c>
    </row>
    <row r="591">
      <c r="A591" s="2">
        <v>590</v>
      </c>
      <c r="B591" s="2">
        <v>858</v>
      </c>
      <c r="C591" t="inlineStr" s="0">
        <is>
          <t>Loviisan Järjestöt ry</t>
        </is>
      </c>
      <c r="D591" s="2">
        <v>82950.0</v>
      </c>
      <c r="E591" s="2">
        <v>82950.0</v>
      </c>
      <c r="F591" s="2">
        <v>0.0</v>
      </c>
      <c r="G591" s="2">
        <v>100.0</v>
      </c>
      <c r="H591" s="2">
        <v>1</v>
      </c>
      <c r="I591" t="inlineStr" s="0">
        <is>
          <t>Ak 2633: Kumppanuustalo Kulman koordinointiin ja toiminnan kehittämiseen järjestöjen toimintaedellytysten parantamiseksi ja vapaaehtoistoiminnan tukemiseksi sekä loviisalaisten hyvinvoinnin ja osallisuuden lisäämiseksi (Kulmakivi - Kumppanuustalo Kulma kansalaistoiminnan keskuksena) (82 950 €)</t>
        </is>
      </c>
    </row>
    <row r="592">
      <c r="A592" s="2">
        <v>591</v>
      </c>
      <c r="B592" s="2">
        <v>880</v>
      </c>
      <c r="C592" t="inlineStr" s="0">
        <is>
          <t>POHJANMAAN SYÖPÄYHDISTYS-ÖSTERBOTTENS CANCERF. RY</t>
        </is>
      </c>
      <c r="D592" s="2">
        <v>81900.0</v>
      </c>
      <c r="E592" s="2">
        <v>81900.0</v>
      </c>
      <c r="F592" s="2">
        <v>0.0</v>
      </c>
      <c r="G592" s="2">
        <v>100.0</v>
      </c>
      <c r="H592" s="2">
        <v>1</v>
      </c>
      <c r="I592" t="inlineStr" s="0">
        <is>
          <t>Ak 2: Syöpäpotilaiden sekä omaisten kriisitukeen ja saattohoidon vapaaehtoistukeen (81 900 €)</t>
        </is>
      </c>
    </row>
    <row r="593">
      <c r="A593" s="2">
        <v>592</v>
      </c>
      <c r="B593" s="2">
        <v>884</v>
      </c>
      <c r="C593" t="inlineStr" s="0">
        <is>
          <t>SONKAJÄRVEN MIELENTERVEYSKERHO RY</t>
        </is>
      </c>
      <c r="D593" s="2">
        <v>81441.0</v>
      </c>
      <c r="E593" s="2">
        <v>81441.0</v>
      </c>
      <c r="F593" s="2">
        <v>0.0</v>
      </c>
      <c r="G593" s="2">
        <v>100.0</v>
      </c>
      <c r="H593" s="2">
        <v>1</v>
      </c>
      <c r="I593" t="inlineStr" s="0">
        <is>
          <t>Ak 1: Mielenterveys- ja päihdekuntoutujien sekä yksinäisyyttä kokevien osallisuuden ja hyvinvoinnin vahvistamiseen vertais- ja vapaaehtoistoiminnalla Sonkajärvellä (Kohtaamispaikka ArjenAskel) (81 441 €)</t>
        </is>
      </c>
    </row>
    <row r="594">
      <c r="A594" s="2">
        <v>593</v>
      </c>
      <c r="B594" s="2">
        <v>811</v>
      </c>
      <c r="C594" t="inlineStr" s="0">
        <is>
          <t>PÄIJÄT-HÄMEEN HYVINVOINTIPALVELUJEN KEHITYS RY</t>
        </is>
      </c>
      <c r="D594" s="2">
        <v>80000.0</v>
      </c>
      <c r="E594" s="2">
        <v>80000.0</v>
      </c>
      <c r="F594" s="2">
        <v>0.0</v>
      </c>
      <c r="G594" s="2">
        <v>100.0</v>
      </c>
      <c r="H594" s="2">
        <v>1</v>
      </c>
      <c r="I594" t="inlineStr" s="0">
        <is>
          <t>Ak 11206: Ikääntyneiden osallisuuden edistämiseen sekä yksinäisyyden kokemuksen vähentämiseen vapaaehtoisuuteen perustuvan kummitoiminnan avulla (Omanoloinen arkielo 2023-2026) (80 000 €)</t>
        </is>
      </c>
    </row>
    <row r="595">
      <c r="A595" s="2">
        <v>594</v>
      </c>
      <c r="B595" s="2">
        <v>933</v>
      </c>
      <c r="C595" t="inlineStr" s="0">
        <is>
          <t>Kristillinen yhdistys Penuel ry</t>
        </is>
      </c>
      <c r="D595" s="2">
        <v>78800.0</v>
      </c>
      <c r="E595" s="2">
        <v>78800.0</v>
      </c>
      <c r="F595" s="2">
        <v>0.0</v>
      </c>
      <c r="G595" s="2">
        <v>100.0</v>
      </c>
      <c r="H595" s="2">
        <v>1</v>
      </c>
      <c r="I595" t="inlineStr" s="0">
        <is>
          <t>Ak 10126: Heikommassa asemassa olevien osallisuuden ja yhteisöllisyyden vahvistamiseen matalan kynnyksen kohtaamispaikkatoiminnan, ryhmämuotoisen toiminnan ja yksilöllisen tuen avulla Pelkosenniemellä ja Savukoskella (78 800 €)</t>
        </is>
      </c>
    </row>
    <row r="596">
      <c r="A596" s="2">
        <v>595</v>
      </c>
      <c r="B596" s="2">
        <v>314</v>
      </c>
      <c r="C596" t="inlineStr" s="0">
        <is>
          <t>SUOMEN PALVELUSKOIRALIITTO (SPKL) RY</t>
        </is>
      </c>
      <c r="D596" s="2">
        <v>78093.0</v>
      </c>
      <c r="E596" s="2">
        <v>78093.0</v>
      </c>
      <c r="F596" s="2">
        <v>0.0</v>
      </c>
      <c r="G596" s="2">
        <v>100.0</v>
      </c>
      <c r="H596" s="2">
        <v>1</v>
      </c>
      <c r="I596" t="inlineStr" s="0">
        <is>
          <t>Ak 1: Vapaaehtoisten pelastuskoiratoimijoiden osaamisen ylläpitämiseen osana Vapepa-toimintaa (78 093 €)</t>
        </is>
      </c>
    </row>
    <row r="597">
      <c r="A597" s="2">
        <v>596</v>
      </c>
      <c r="B597" s="2">
        <v>998</v>
      </c>
      <c r="C597" t="inlineStr" s="0">
        <is>
          <t>UUDENMAAN LIHASTAUTIYHDISTYS RY</t>
        </is>
      </c>
      <c r="D597" s="2">
        <v>78000.0</v>
      </c>
      <c r="E597" s="2">
        <v>78000.0</v>
      </c>
      <c r="F597" s="2">
        <v>0.0</v>
      </c>
      <c r="G597" s="2">
        <v>100.0</v>
      </c>
      <c r="H597" s="2">
        <v>1</v>
      </c>
      <c r="I597" t="inlineStr" s="0">
        <is>
          <t>Ak 2: Lihastautia sairastavien henkilöiden ja heidän läheistensä ryhmämuotoiseen vertaistukitoimintaan sekä kasvokkain että etäyhteyksillä. Tiedon jakamiseen ohjaus- ja neuvontatyön avulla. (78 000 €)</t>
        </is>
      </c>
    </row>
    <row r="598">
      <c r="A598" s="2">
        <v>597</v>
      </c>
      <c r="B598" s="2">
        <v>391</v>
      </c>
      <c r="C598" t="inlineStr" s="0">
        <is>
          <t>Lahden Sininauha ry</t>
        </is>
      </c>
      <c r="D598" s="2">
        <v>77490.0</v>
      </c>
      <c r="E598" s="2">
        <v>77490.0</v>
      </c>
      <c r="F598" s="2">
        <v>0.0</v>
      </c>
      <c r="G598" s="2">
        <v>100.0</v>
      </c>
      <c r="H598" s="2">
        <v>1</v>
      </c>
      <c r="I598" t="inlineStr" s="0">
        <is>
          <t>Ak 1: Päihdeongelmaisten ja toistuvia vankeusrangaistuksia saaneiden arjenhallintataitojen lisäämiseen asumisvalmennuksen avulla (77 490 €)</t>
        </is>
      </c>
    </row>
    <row r="599">
      <c r="A599" s="2">
        <v>598</v>
      </c>
      <c r="B599" s="2">
        <v>1028</v>
      </c>
      <c r="C599" t="inlineStr" s="0">
        <is>
          <t>POHJOIS-KARJALAN SYÖPÄYHDISTYS RY</t>
        </is>
      </c>
      <c r="D599" s="2">
        <v>77175.0</v>
      </c>
      <c r="E599" s="2">
        <v>77175.0</v>
      </c>
      <c r="F599" s="2">
        <v>0.0</v>
      </c>
      <c r="G599" s="2">
        <v>100.0</v>
      </c>
      <c r="H599" s="2">
        <v>1</v>
      </c>
      <c r="I599" t="inlineStr" s="0">
        <is>
          <t>Ak 3: Syöpään sairastuneiden ja heidän läheistensä tuki- ja neuvontatoimintaan sekä vertais- ja vapaaehtoistoimintaan (77 175 €)</t>
        </is>
      </c>
    </row>
    <row r="600">
      <c r="A600" s="2">
        <v>599</v>
      </c>
      <c r="B600" s="2">
        <v>458</v>
      </c>
      <c r="C600" t="inlineStr" s="0">
        <is>
          <t>Jyvässeudun työllistämisyhdistys - JST ry</t>
        </is>
      </c>
      <c r="D600" s="2">
        <v>76500.0</v>
      </c>
      <c r="E600" s="2">
        <v>76500.0</v>
      </c>
      <c r="F600" s="2">
        <v>0.0</v>
      </c>
      <c r="G600" s="2">
        <v>100.0</v>
      </c>
      <c r="H600" s="2">
        <v>1</v>
      </c>
      <c r="I600" t="inlineStr" s="0">
        <is>
          <t>Ak 6034: Työttömien arjenhallinnan ja osallisuuden vahvistamiseen matalan kynnyksen ohjauksella, neuvonnalla ja virkistystoiminnalla Jyväskylän seudulla (Sirpakka-toiminta) (76 500 €)</t>
        </is>
      </c>
    </row>
    <row r="601">
      <c r="A601" s="2">
        <v>600</v>
      </c>
      <c r="B601" s="2">
        <v>866</v>
      </c>
      <c r="C601" t="inlineStr" s="0">
        <is>
          <t>Kiuruveden Varapäre ry</t>
        </is>
      </c>
      <c r="D601" s="2">
        <v>76491.0</v>
      </c>
      <c r="E601" s="2">
        <v>76491.0</v>
      </c>
      <c r="F601" s="2">
        <v>0.0</v>
      </c>
      <c r="G601" s="2">
        <v>100.0</v>
      </c>
      <c r="H601" s="2">
        <v>1</v>
      </c>
      <c r="I601" t="inlineStr" s="0">
        <is>
          <t>Ak 1: Mielenterveyskuntoutujien ja heidän omaistensa positiivisen mielenterveyden ja hyvinvoinnin lisäämiseen vertaistukea, neuvontaa ja ryhmätoimintoja sisältävällä matalan kynnyksen kohtaamispaikkatoiminnalla Kiuruvedellä (Varapäre) (76 491 €)</t>
        </is>
      </c>
    </row>
    <row r="602">
      <c r="A602" s="2">
        <v>601</v>
      </c>
      <c r="B602" s="2">
        <v>1090</v>
      </c>
      <c r="C602" t="inlineStr" s="0">
        <is>
          <t>FINLANDSSVENSKA TECKENSPRÅKIGA RF</t>
        </is>
      </c>
      <c r="D602" s="2">
        <v>75000.0</v>
      </c>
      <c r="E602" s="2">
        <v>75000.0</v>
      </c>
      <c r="F602" s="2">
        <v>0.0</v>
      </c>
      <c r="G602" s="2">
        <v>100.0</v>
      </c>
      <c r="H602" s="2">
        <v>1</v>
      </c>
      <c r="I602" t="inlineStr" s="0">
        <is>
          <t>Ak 3245: För att öka finlandssvenska teckenspråkigas delaktighet genom lågtröskelverksamhet, information och påverkansarbete (75 000 €)</t>
        </is>
      </c>
    </row>
    <row r="603">
      <c r="A603" s="2">
        <v>602</v>
      </c>
      <c r="B603" s="2">
        <v>499</v>
      </c>
      <c r="C603" t="inlineStr" s="0">
        <is>
          <t>RAAHEN SEUDUN OMAISHOITAJAT JA LÄHEISET RY</t>
        </is>
      </c>
      <c r="D603" s="2">
        <v>75000.0</v>
      </c>
      <c r="E603" s="2">
        <v>75000.0</v>
      </c>
      <c r="F603" s="2">
        <v>0.0</v>
      </c>
      <c r="G603" s="2">
        <v>100.0</v>
      </c>
      <c r="H603" s="2">
        <v>1</v>
      </c>
      <c r="I603" t="inlineStr" s="0">
        <is>
          <t>Ak 1: Omaishoitajien toimintakyvyn tukemiseen tiedottamisen, neuvonnan, vertaistoiminnan ja valmennusten avulla Raahen seudulla (OmaisOiva) (75 000 €)</t>
        </is>
      </c>
    </row>
    <row r="604">
      <c r="A604" s="2">
        <v>603</v>
      </c>
      <c r="B604" s="2">
        <v>400</v>
      </c>
      <c r="C604" t="inlineStr" s="0">
        <is>
          <t>Mikkelin työttömät ry</t>
        </is>
      </c>
      <c r="D604" s="2">
        <v>74741.0</v>
      </c>
      <c r="E604" s="2">
        <v>63221.0</v>
      </c>
      <c r="F604" s="2">
        <v>11520.0</v>
      </c>
      <c r="G604" s="2">
        <v>84.6</v>
      </c>
      <c r="H604" s="2">
        <v>2</v>
      </c>
      <c r="I604" t="inlineStr" s="0">
        <is>
          <t>Ak 5702: Työttömien terveellisten elämäntapojen ja työelämäosallisuuden vahvistamiseen matalan kynnyksen kohtaamispaikkatoiminnan ohjaus-, neuvonta- ja ryhmätoiminnoilla Mikkelissä (63 221 €) | C 13656: Euroopan sosiaalirahasto plussan (ESR+) hankkeen "Tsempparit" osarahoitukseen järjestölle (2026-2027) (11 520 €)</t>
        </is>
      </c>
    </row>
    <row r="605">
      <c r="A605" s="2">
        <v>604</v>
      </c>
      <c r="B605" s="2">
        <v>582</v>
      </c>
      <c r="C605" t="inlineStr" s="0">
        <is>
          <t>SUOMEN AKUSTIKUSNEURINOOMAYHDISTYS RY</t>
        </is>
      </c>
      <c r="D605" s="2">
        <v>74611.0</v>
      </c>
      <c r="E605" s="2">
        <v>74611.0</v>
      </c>
      <c r="F605" s="2">
        <v>0.0</v>
      </c>
      <c r="G605" s="2">
        <v>100.0</v>
      </c>
      <c r="H605" s="2">
        <v>1</v>
      </c>
      <c r="I605" t="inlineStr" s="0">
        <is>
          <t>Ak 1700: Akustikusneurinoomaa sairastavien tiedotustoimintaan sekä arjen hyvinvoinnin tukemiseen vertaistuella, koulutuksella ja ryhmätoiminnalla (74 611 €)</t>
        </is>
      </c>
    </row>
    <row r="606">
      <c r="A606" s="2">
        <v>605</v>
      </c>
      <c r="B606" s="2">
        <v>1348</v>
      </c>
      <c r="C606" t="inlineStr" s="0">
        <is>
          <t>RINTASYÖPÄYHDISTYS EUROPA DONNA FINLAND RY</t>
        </is>
      </c>
      <c r="D606" s="2">
        <v>74000.0</v>
      </c>
      <c r="E606" s="2">
        <v>74000.0</v>
      </c>
      <c r="F606" s="2">
        <v>0.0</v>
      </c>
      <c r="G606" s="2">
        <v>100.0</v>
      </c>
      <c r="H606" s="2">
        <v>1</v>
      </c>
      <c r="I606" t="inlineStr" s="0">
        <is>
          <t>Ak 12409: Rintasyöpään sairastuneiden ja heidän läheistensä tukemiseen hyvinvointia lisäävällä toiminnalla, vertais- ja vapaaehtoistoiminnalla, edunvalvonnalla ja viestinnällä (74 000 €)</t>
        </is>
      </c>
    </row>
    <row r="607">
      <c r="A607" s="2">
        <v>606</v>
      </c>
      <c r="B607" s="2">
        <v>339</v>
      </c>
      <c r="C607" t="inlineStr" s="0">
        <is>
          <t>KAAKKOIS-SUOMEN NÄKÖVAMMAISET RY</t>
        </is>
      </c>
      <c r="D607" s="2">
        <v>73800.0</v>
      </c>
      <c r="E607" s="2">
        <v>73800.0</v>
      </c>
      <c r="F607" s="2">
        <v>0.0</v>
      </c>
      <c r="G607" s="2">
        <v>100.0</v>
      </c>
      <c r="H607" s="2">
        <v>1</v>
      </c>
      <c r="I607" t="inlineStr" s="0">
        <is>
          <t>Ak 1028: Näkövammaisten itsenäisen elämän tukemiseen ja osallisuuden edistämiseen vertaistuen, ryhmätoiminnan ja saavutettavan tiedon avulla Kaakkois-Suomessa (73 800 €)</t>
        </is>
      </c>
    </row>
    <row r="608">
      <c r="A608" s="2">
        <v>607</v>
      </c>
      <c r="B608" s="2">
        <v>621</v>
      </c>
      <c r="C608" t="inlineStr" s="0">
        <is>
          <t>JUUAN VANHUSTENTALOYHDISTYS RY</t>
        </is>
      </c>
      <c r="D608" s="2">
        <v>73500.0</v>
      </c>
      <c r="E608" s="2">
        <v>73500.0</v>
      </c>
      <c r="F608" s="2">
        <v>0.0</v>
      </c>
      <c r="G608" s="2">
        <v>100.0</v>
      </c>
      <c r="H608" s="2">
        <v>1</v>
      </c>
      <c r="I608" t="inlineStr" s="0">
        <is>
          <t>Ak 2866: Eri ikäryhmien osallisuuden lisäämiseen ja hyvinvoinnin vahvistamiseen kohtaamispaikkatoiminnalla (Ellinkulma) (73 500 €)</t>
        </is>
      </c>
    </row>
    <row r="609">
      <c r="A609" s="2">
        <v>608</v>
      </c>
      <c r="B609" s="2">
        <v>361</v>
      </c>
      <c r="C609" t="inlineStr" s="0">
        <is>
          <t>SUOMEN PELASTUSKOIRALIITTO  RY</t>
        </is>
      </c>
      <c r="D609" s="2">
        <v>73500.0</v>
      </c>
      <c r="E609" s="2">
        <v>0.0</v>
      </c>
      <c r="F609" s="2">
        <v>73500.0</v>
      </c>
      <c r="G609" s="2">
        <v>0.0</v>
      </c>
      <c r="H609" s="2">
        <v>1</v>
      </c>
      <c r="I609" t="inlineStr" s="0">
        <is>
          <t>Ay 2: Yleisavustuksena avustuksen saajan yleishyödylliseen toimintaan (73 500 €)</t>
        </is>
      </c>
    </row>
    <row r="610">
      <c r="A610" s="2">
        <v>609</v>
      </c>
      <c r="B610" s="2">
        <v>344</v>
      </c>
      <c r="C610" t="inlineStr" s="0">
        <is>
          <t>Liepeen Hoiva ry</t>
        </is>
      </c>
      <c r="D610" s="2">
        <v>72304.0</v>
      </c>
      <c r="E610" s="2">
        <v>72304.0</v>
      </c>
      <c r="F610" s="2">
        <v>0.0</v>
      </c>
      <c r="G610" s="2">
        <v>100.0</v>
      </c>
      <c r="H610" s="2">
        <v>1</v>
      </c>
      <c r="I610" t="inlineStr" s="0">
        <is>
          <t>Ak 3808: Yli 65-vuotiaiden kotona asuvien yksinäisyyden vähentämiseen, osallisuuden lisäämiseen sekä toimintakyvyn edistämiseen ryhmätoiminnan, vertaisohjaajien ja vapaaehtoisten avulla (Eloisaa!-toiminta) (72 304 €)</t>
        </is>
      </c>
    </row>
    <row r="611">
      <c r="A611" s="2">
        <v>610</v>
      </c>
      <c r="B611" s="2">
        <v>1224</v>
      </c>
      <c r="C611" t="inlineStr" s="0">
        <is>
          <t>Etelä-Karjalan yhdistykset ry</t>
        </is>
      </c>
      <c r="D611" s="2">
        <v>72210.0</v>
      </c>
      <c r="E611" s="2">
        <v>72210.0</v>
      </c>
      <c r="F611" s="2">
        <v>0.0</v>
      </c>
      <c r="G611" s="2">
        <v>100.0</v>
      </c>
      <c r="H611" s="2">
        <v>1</v>
      </c>
      <c r="I611" t="inlineStr" s="0">
        <is>
          <t>Ak 12670: Yhdistystoiminnan aktivointiin, järjestöjen toiminnasta viestimiseen sekä yhteistoiminnan koordinointiin Etelä-Karjalan hyvinvointialueella (Etelä-Karjalan yhdistysten tuki) (72 210 €)</t>
        </is>
      </c>
    </row>
    <row r="612">
      <c r="A612" s="2">
        <v>611</v>
      </c>
      <c r="B612" s="2">
        <v>1706</v>
      </c>
      <c r="C612" t="inlineStr" s="0">
        <is>
          <t>Savon Martat ry</t>
        </is>
      </c>
      <c r="D612" s="2">
        <v>71400.0</v>
      </c>
      <c r="E612" s="2">
        <v>71400.0</v>
      </c>
      <c r="F612" s="2">
        <v>0.0</v>
      </c>
      <c r="G612" s="2">
        <v>100.0</v>
      </c>
      <c r="H612" s="2">
        <v>1</v>
      </c>
      <c r="I612" t="inlineStr" s="0">
        <is>
          <t>Ak 12174: Yli 65-vuotiaiden kotona asuvien terveyden ja hyvinvoinnin edistämiseen sekä toimintakyvyn ylläpitoon ravitsemus- ja kotitalousneuvonnalla Pohjois-Savossa ja Etelä-Savossa (Eevi - Hyviä eväitä seniorille) (71 400 €)</t>
        </is>
      </c>
    </row>
    <row r="613">
      <c r="A613" s="2">
        <v>612</v>
      </c>
      <c r="B613" s="2">
        <v>105</v>
      </c>
      <c r="C613" t="inlineStr" s="0">
        <is>
          <t>OMAISENA EDELLEEN RY</t>
        </is>
      </c>
      <c r="D613" s="2">
        <v>70800.0</v>
      </c>
      <c r="E613" s="2">
        <v>70800.0</v>
      </c>
      <c r="F613" s="2">
        <v>0.0</v>
      </c>
      <c r="G613" s="2">
        <v>100.0</v>
      </c>
      <c r="H613" s="2">
        <v>1</v>
      </c>
      <c r="I613" t="inlineStr" s="0">
        <is>
          <t>Ak 1: Kuormittavissa muutos- ja siirtymätilanteissa hoitoa ja hoivaa tarvitsevien henkilöiden sekä heidän omaistensa ja läheistensä tukemiseen omaisyhteistyön kehittämisellä valtakunnallisesti (70 800 €)</t>
        </is>
      </c>
    </row>
    <row r="614">
      <c r="A614" s="2">
        <v>613</v>
      </c>
      <c r="B614" s="2">
        <v>1041</v>
      </c>
      <c r="C614" t="inlineStr" s="0">
        <is>
          <t>LEPPÄVIRRAN MT-TUKI RY</t>
        </is>
      </c>
      <c r="D614" s="2">
        <v>70500.0</v>
      </c>
      <c r="E614" s="2">
        <v>70500.0</v>
      </c>
      <c r="F614" s="2">
        <v>0.0</v>
      </c>
      <c r="G614" s="2">
        <v>100.0</v>
      </c>
      <c r="H614" s="2">
        <v>1</v>
      </c>
      <c r="I614" t="inlineStr" s="0">
        <is>
          <t>Ak 1: Mielenterveys- ja päihdekuntoutujien arjen ja mielen hyvinvoinnin tukemiseen kohtaamispaikkatoiminnan avulla Leppävirralla (Reimari) (70 500 €)</t>
        </is>
      </c>
    </row>
    <row r="615">
      <c r="A615" s="2">
        <v>614</v>
      </c>
      <c r="B615" s="2">
        <v>1116</v>
      </c>
      <c r="C615" t="inlineStr" s="0">
        <is>
          <t>KYMENLAAKSON SYÖPÄYHDISTYS RY</t>
        </is>
      </c>
      <c r="D615" s="2">
        <v>70200.0</v>
      </c>
      <c r="E615" s="2">
        <v>70200.0</v>
      </c>
      <c r="F615" s="2">
        <v>0.0</v>
      </c>
      <c r="G615" s="2">
        <v>100.0</v>
      </c>
      <c r="H615" s="2">
        <v>1</v>
      </c>
      <c r="I615" t="inlineStr" s="0">
        <is>
          <t>Ak 1: Syöpään sairastuneiden ja heidän läheistensä tuki- ja neuvontatoimintaan sekä vertais- ja vapaaehtoistoimintaan (70 200 €)</t>
        </is>
      </c>
    </row>
    <row r="616">
      <c r="A616" s="2">
        <v>615</v>
      </c>
      <c r="B616" s="2">
        <v>1103</v>
      </c>
      <c r="C616" t="inlineStr" s="0">
        <is>
          <t>Koillis-Lapin A-kilta ry</t>
        </is>
      </c>
      <c r="D616" s="2">
        <v>69458.0</v>
      </c>
      <c r="E616" s="2">
        <v>69458.0</v>
      </c>
      <c r="F616" s="2">
        <v>0.0</v>
      </c>
      <c r="G616" s="2">
        <v>100.0</v>
      </c>
      <c r="H616" s="2">
        <v>1</v>
      </c>
      <c r="I616" t="inlineStr" s="0">
        <is>
          <t>Ak 1: Päihteettömyyden ja hyvinvoinnin tukemiseen vertaistuellisen kohtaamispaikka- ja ryhmätoiminnan avulla (69 458 €)</t>
        </is>
      </c>
    </row>
    <row r="617">
      <c r="A617" s="2">
        <v>616</v>
      </c>
      <c r="B617" s="2">
        <v>534</v>
      </c>
      <c r="C617" t="inlineStr" s="0">
        <is>
          <t>Jokilaaksojen omaishoitajat ja läheiset ry</t>
        </is>
      </c>
      <c r="D617" s="2">
        <v>68849.0</v>
      </c>
      <c r="E617" s="2">
        <v>68849.0</v>
      </c>
      <c r="F617" s="2">
        <v>0.0</v>
      </c>
      <c r="G617" s="2">
        <v>100.0</v>
      </c>
      <c r="H617" s="2">
        <v>1</v>
      </c>
      <c r="I617" t="inlineStr" s="0">
        <is>
          <t>Ak 1: Omaishoitajien toimintakyvyn tukemiseen tiedottamisen, neuvonnan, vertaistoiminnan ja valmennusten avulla kuuden kunnan alueella Kalajokilaaksossa (OmaisOiva) (68 849 €)</t>
        </is>
      </c>
    </row>
    <row r="618">
      <c r="A618" s="2">
        <v>617</v>
      </c>
      <c r="B618" s="2">
        <v>1009</v>
      </c>
      <c r="C618" t="inlineStr" s="0">
        <is>
          <t>Kaakkois-Suomen Martat ry</t>
        </is>
      </c>
      <c r="D618" s="2">
        <v>68000.0</v>
      </c>
      <c r="E618" s="2">
        <v>68000.0</v>
      </c>
      <c r="F618" s="2">
        <v>0.0</v>
      </c>
      <c r="G618" s="2">
        <v>100.0</v>
      </c>
      <c r="H618" s="2">
        <v>1</v>
      </c>
      <c r="I618" t="inlineStr" s="0">
        <is>
          <t>Ak 5510: Yli 60-vuotiaiden ikääntyvien kotona asumisen ja omatoimisen arjenhallinnan tukemiseen kotitalousneuvonnalla sekä vapaaehtoisten senioritukimarttojen valmentamisella Etelä-Karjalassa ja Kymenlaaksossa (68 000 €)</t>
        </is>
      </c>
    </row>
    <row r="619">
      <c r="A619" s="2">
        <v>618</v>
      </c>
      <c r="B619" s="2">
        <v>313</v>
      </c>
      <c r="C619" t="inlineStr" s="0">
        <is>
          <t>CARITAS-SÄÄTIÖ</t>
        </is>
      </c>
      <c r="D619" s="2">
        <v>66215.0</v>
      </c>
      <c r="E619" s="2">
        <v>66215.0</v>
      </c>
      <c r="F619" s="2">
        <v>0.0</v>
      </c>
      <c r="G619" s="2">
        <v>100.0</v>
      </c>
      <c r="H619" s="2">
        <v>1</v>
      </c>
      <c r="I619" t="inlineStr" s="0">
        <is>
          <t>Ak 9768: Ikääntyneiden digitaitojen ja osallisuuden vahvistamiseen sekä yksinäisyyden kokemusten vähentämiseen yksilöllisen digituen ja ryhmätoiminnan avulla (DigiJelppari) (66 215 €)</t>
        </is>
      </c>
    </row>
    <row r="620">
      <c r="A620" s="2">
        <v>619</v>
      </c>
      <c r="B620" s="2">
        <v>617</v>
      </c>
      <c r="C620" t="inlineStr" s="0">
        <is>
          <t>PALVELUYHDISTYS RATEVA RY</t>
        </is>
      </c>
      <c r="D620" s="2">
        <v>66150.0</v>
      </c>
      <c r="E620" s="2">
        <v>66150.0</v>
      </c>
      <c r="F620" s="2">
        <v>0.0</v>
      </c>
      <c r="G620" s="2">
        <v>100.0</v>
      </c>
      <c r="H620" s="2">
        <v>1</v>
      </c>
      <c r="I620" t="inlineStr" s="0">
        <is>
          <t>Ak 2238: Ikäihmisten osallisuuden edistämiseen ja toimintakyvyn ylläpitämiseen kohtaamispaikka-, ryhmä- ja vapaaehtoistoiminnan sekä yhteistyöverkoston keinoin (Miä ite – Myö yhessä) (66 150 €)</t>
        </is>
      </c>
    </row>
    <row r="621">
      <c r="A621" s="2">
        <v>620</v>
      </c>
      <c r="B621" s="2">
        <v>1086</v>
      </c>
      <c r="C621" t="inlineStr" s="0">
        <is>
          <t>HELSINGIN ALLERGIA- JA ASTMAYHDISTYS RY</t>
        </is>
      </c>
      <c r="D621" s="2">
        <v>66000.0</v>
      </c>
      <c r="E621" s="2">
        <v>66000.0</v>
      </c>
      <c r="F621" s="2">
        <v>0.0</v>
      </c>
      <c r="G621" s="2">
        <v>100.0</v>
      </c>
      <c r="H621" s="2">
        <v>1</v>
      </c>
      <c r="I621" t="inlineStr" s="0">
        <is>
          <t>Ak 2: Allergisille ihmisille suunnatun kosmetiikan Allergiaportaali-verkkopalvelun ylläpitoon ja kehittämiseen sekä valtakunnalliseen kosmetiikkaneuvontapalveluun (66 000 €)</t>
        </is>
      </c>
    </row>
    <row r="622">
      <c r="A622" s="2">
        <v>621</v>
      </c>
      <c r="B622" s="2">
        <v>1611</v>
      </c>
      <c r="C622" t="inlineStr" s="0">
        <is>
          <t>Kainuun sosiaali- ja terveysturvayhdistys ry</t>
        </is>
      </c>
      <c r="D622" s="2">
        <v>65680.0</v>
      </c>
      <c r="E622" s="2">
        <v>65680.0</v>
      </c>
      <c r="F622" s="2">
        <v>0.0</v>
      </c>
      <c r="G622" s="2">
        <v>100.0</v>
      </c>
      <c r="H622" s="2">
        <v>1</v>
      </c>
      <c r="I622" t="inlineStr" s="0">
        <is>
          <t>Ak 11841: Kainuun sote-järjestöjen, kuntien ja hyvinvointialueen yhteistyön vahvistamiseen sekä järjestötoiminnan koordinoimiseen ja järjestötoiminnasta viestimiseen (Yhteistyöllä ja kumppanuudella vahvempaa sotejärjestötoimintaa Kainuussa) (65 680 €)</t>
        </is>
      </c>
    </row>
    <row r="623">
      <c r="A623" s="2">
        <v>622</v>
      </c>
      <c r="B623" s="2">
        <v>1129</v>
      </c>
      <c r="C623" t="inlineStr" s="0">
        <is>
          <t>MANNA-APU RY</t>
        </is>
      </c>
      <c r="D623" s="2">
        <v>64100.0</v>
      </c>
      <c r="E623" s="2">
        <v>64100.0</v>
      </c>
      <c r="F623" s="2">
        <v>0.0</v>
      </c>
      <c r="G623" s="2">
        <v>100.0</v>
      </c>
      <c r="H623" s="2">
        <v>1</v>
      </c>
      <c r="I623" t="inlineStr" s="0">
        <is>
          <t>Ak 10120: Ruoka-apuun turvautuvien ihmisten arjen hallinnan ja osallisuuden vahvistamiseen yhteisöllisillä ja aktivoivilla toimintamuodoilla Espoossa (64 100 €)</t>
        </is>
      </c>
    </row>
    <row r="624">
      <c r="A624" s="2">
        <v>623</v>
      </c>
      <c r="B624" s="2">
        <v>365</v>
      </c>
      <c r="C624" t="inlineStr" s="0">
        <is>
          <t>TOIMINTAYHDISTYS LEPPÄLINTU RY</t>
        </is>
      </c>
      <c r="D624" s="2">
        <v>64050.0</v>
      </c>
      <c r="E624" s="2">
        <v>64050.0</v>
      </c>
      <c r="F624" s="2">
        <v>0.0</v>
      </c>
      <c r="G624" s="2">
        <v>100.0</v>
      </c>
      <c r="H624" s="2">
        <v>1</v>
      </c>
      <c r="I624" t="inlineStr" s="0">
        <is>
          <t>Ak 5: Päihde- ja mielenterveysongelmista kärsivien osallisuuden lisäämiseen sekä päihdehaittojen ja yksinäisyyden vähentämiseen päihteettömän kohtaamispaikkatoiminnan avulla (64 050 €)</t>
        </is>
      </c>
    </row>
    <row r="625">
      <c r="A625" s="2">
        <v>624</v>
      </c>
      <c r="B625" s="2">
        <v>555</v>
      </c>
      <c r="C625" t="inlineStr" s="0">
        <is>
          <t>Diabetes Pirkanmaa ry</t>
        </is>
      </c>
      <c r="D625" s="2">
        <v>64000.0</v>
      </c>
      <c r="E625" s="2">
        <v>64000.0</v>
      </c>
      <c r="F625" s="2">
        <v>0.0</v>
      </c>
      <c r="G625" s="2">
        <v>100.0</v>
      </c>
      <c r="H625" s="2">
        <v>1</v>
      </c>
      <c r="I625" t="inlineStr" s="0">
        <is>
          <t>Ak 3: Diabeetikoille ja heidän läheisilleen sekä riskiryhmään kuuluville suunnattuun tiedotus-, neuvonta- ja ohjaustoimintaan sekä ammattilaisille suunnattuun työhön Pirkanmaalla (64 000 €)</t>
        </is>
      </c>
    </row>
    <row r="626">
      <c r="A626" s="2">
        <v>625</v>
      </c>
      <c r="B626" s="2">
        <v>698</v>
      </c>
      <c r="C626" t="inlineStr" s="0">
        <is>
          <t>KANSALAISTALO MANSIKKAPAIKKA RY</t>
        </is>
      </c>
      <c r="D626" s="2">
        <v>63791.0</v>
      </c>
      <c r="E626" s="2">
        <v>63791.0</v>
      </c>
      <c r="F626" s="2">
        <v>0.0</v>
      </c>
      <c r="G626" s="2">
        <v>100.0</v>
      </c>
      <c r="H626" s="2">
        <v>1</v>
      </c>
      <c r="I626" t="inlineStr" s="0">
        <is>
          <t>Ak 9764: Erityistä tukea tarvitsevien pienten lasten äitien ja isien yksilö- ja vertaistukeen Tampereella (LAIDALLA - tukea tarvitsevien vanhempien saattaminen yhteisöön) (63 791 €)</t>
        </is>
      </c>
    </row>
    <row r="627">
      <c r="A627" s="2">
        <v>626</v>
      </c>
      <c r="B627" s="2">
        <v>1383</v>
      </c>
      <c r="C627" t="inlineStr" s="0">
        <is>
          <t>MANNERHEIMIN LASTENSUOJELULIITON LAHDEN YHDISTYS</t>
        </is>
      </c>
      <c r="D627" s="2">
        <v>63110.0</v>
      </c>
      <c r="E627" s="2">
        <v>63110.0</v>
      </c>
      <c r="F627" s="2">
        <v>0.0</v>
      </c>
      <c r="G627" s="2">
        <v>100.0</v>
      </c>
      <c r="H627" s="2">
        <v>1</v>
      </c>
      <c r="I627" t="inlineStr" s="0">
        <is>
          <t>Ak 10603: Maahanmuuttajaäitien osallisuuden ja kotoutumisen edistämiseen vapaaehtoisen, matalankynnyksen ystävätoiminnan keinoin sekä yhdistyksen monikulttuurisen toiminnan kehittämiseen. (63 110 €)</t>
        </is>
      </c>
    </row>
    <row r="628">
      <c r="A628" s="2">
        <v>627</v>
      </c>
      <c r="B628" s="2">
        <v>1442</v>
      </c>
      <c r="C628" t="inlineStr" s="0">
        <is>
          <t>ETELÄ-SUOMEN SYÖPÄYHDISTYS RY</t>
        </is>
      </c>
      <c r="D628" s="2">
        <v>62503.0</v>
      </c>
      <c r="E628" s="2">
        <v>62503.0</v>
      </c>
      <c r="F628" s="2">
        <v>0.0</v>
      </c>
      <c r="G628" s="2">
        <v>100.0</v>
      </c>
      <c r="H628" s="2">
        <v>1</v>
      </c>
      <c r="I628" t="inlineStr" s="0">
        <is>
          <t>Ak 9912: Syöpään sairastuneiden ja heidän läheisten tuki-, kriisi- ja neuvontatoimintaan sekä vertaistukitoimintaan Hämeenlinna - Riihimäki - Hyvinkää alueella (62 503 €)</t>
        </is>
      </c>
    </row>
    <row r="629">
      <c r="A629" s="2">
        <v>628</v>
      </c>
      <c r="B629" s="2">
        <v>461</v>
      </c>
      <c r="C629" t="inlineStr" s="0">
        <is>
          <t>Psykosociala föreningen Sympati rf</t>
        </is>
      </c>
      <c r="D629" s="2">
        <v>61630.0</v>
      </c>
      <c r="E629" s="2">
        <v>61630.0</v>
      </c>
      <c r="F629" s="2">
        <v>0.0</v>
      </c>
      <c r="G629" s="2">
        <v>100.0</v>
      </c>
      <c r="H629" s="2">
        <v>1</v>
      </c>
      <c r="I629" t="inlineStr" s="0">
        <is>
          <t>Ak 2: För att stöda personer med psykisk ohälsa genom att koordinera och organisera psykosocialt stöd på svenska, erbjuda kamratstöd och rådgivning samt genom att idka intressebevakning i huvudstadsregionen (61 630 €)</t>
        </is>
      </c>
    </row>
    <row r="630">
      <c r="A630" s="2">
        <v>629</v>
      </c>
      <c r="B630" s="2">
        <v>1113</v>
      </c>
      <c r="C630" t="inlineStr" s="0">
        <is>
          <t>KAJAANIN HYVÄ MIELI RY</t>
        </is>
      </c>
      <c r="D630" s="2">
        <v>61000.0</v>
      </c>
      <c r="E630" s="2">
        <v>61000.0</v>
      </c>
      <c r="F630" s="2">
        <v>0.0</v>
      </c>
      <c r="G630" s="2">
        <v>100.0</v>
      </c>
      <c r="H630" s="2">
        <v>1</v>
      </c>
      <c r="I630" t="inlineStr" s="0">
        <is>
          <t>Ak 2: Mielenterveys- ja päihdekuntoutujien osallisuutta lisäävään matalan kynnyksen kohtaamispaikan toimintaan Kajaanissa (Huilitupa) (61 000 €)</t>
        </is>
      </c>
    </row>
    <row r="631">
      <c r="A631" s="2">
        <v>630</v>
      </c>
      <c r="B631" s="2">
        <v>157</v>
      </c>
      <c r="C631" t="inlineStr" s="0">
        <is>
          <t>Helsingin Pelastusliitto ry</t>
        </is>
      </c>
      <c r="D631" s="2">
        <v>60900.0</v>
      </c>
      <c r="E631" s="2">
        <v>60900.0</v>
      </c>
      <c r="F631" s="2">
        <v>0.0</v>
      </c>
      <c r="G631" s="2">
        <v>100.0</v>
      </c>
      <c r="H631" s="2">
        <v>1</v>
      </c>
      <c r="I631" t="inlineStr" s="0">
        <is>
          <t>Ak 5489: Asumisturvallisuuden tietotaidon lisäämiseen arjen turvallisuuskoulutuksen avulla (Turvallisuus kuuluu kaikille TURKKA) (60 900 €)</t>
        </is>
      </c>
    </row>
    <row r="632">
      <c r="A632" s="2">
        <v>631</v>
      </c>
      <c r="B632" s="2">
        <v>550</v>
      </c>
      <c r="C632" t="inlineStr" s="0">
        <is>
          <t>JYVÄSKYLÄN NUORISO- JA PALVELUASUNNOT JNP RY</t>
        </is>
      </c>
      <c r="D632" s="2">
        <v>60607.0</v>
      </c>
      <c r="E632" s="2">
        <v>60607.0</v>
      </c>
      <c r="F632" s="2">
        <v>0.0</v>
      </c>
      <c r="G632" s="2">
        <v>100.0</v>
      </c>
      <c r="H632" s="2">
        <v>1</v>
      </c>
      <c r="I632" t="inlineStr" s="0">
        <is>
          <t>Ak 2581: Erityistä tukea tarvitsevien nuorten asunnottomuuden ehkäisyyn ja itsenäisen asumisen tukemiseen asumisohjauksella ja -neuvonnalla, ryhmätoiminnalla sekä nuorten asumistietoutta edistämällä Jyväskylän, Laukaan ja Muuramen alueella (60 607 €)</t>
        </is>
      </c>
    </row>
    <row r="633">
      <c r="A633" s="2">
        <v>632</v>
      </c>
      <c r="B633" s="2">
        <v>762</v>
      </c>
      <c r="C633" t="inlineStr" s="0">
        <is>
          <t>NAL Hämeenlinnan seutu ry</t>
        </is>
      </c>
      <c r="D633" s="2">
        <v>60607.0</v>
      </c>
      <c r="E633" s="2">
        <v>60607.0</v>
      </c>
      <c r="F633" s="2">
        <v>0.0</v>
      </c>
      <c r="G633" s="2">
        <v>100.0</v>
      </c>
      <c r="H633" s="2">
        <v>1</v>
      </c>
      <c r="I633" t="inlineStr" s="0">
        <is>
          <t>Ak 1: Erityistä tukea tarvitsevien nuorten asunnottomuuden ehkäisyyn ja itsenäisen asumisen tukemiseen asumisohjauksella ja -neuvonnalla sekä ryhmätoiminnoilla Hämeenlinnan seudulla (Nuorisoasumisen sisältöpalvelut) (60 607 €)</t>
        </is>
      </c>
    </row>
    <row r="634">
      <c r="A634" s="2">
        <v>633</v>
      </c>
      <c r="B634" s="2">
        <v>1457</v>
      </c>
      <c r="C634" t="inlineStr" s="0">
        <is>
          <t>ALAJÄRVEN PÄIVÄKESKUSYHDISTYS RY</t>
        </is>
      </c>
      <c r="D634" s="2">
        <v>60000.0</v>
      </c>
      <c r="E634" s="2">
        <v>60000.0</v>
      </c>
      <c r="F634" s="2">
        <v>0.0</v>
      </c>
      <c r="G634" s="2">
        <v>100.0</v>
      </c>
      <c r="H634" s="2">
        <v>1</v>
      </c>
      <c r="I634" t="inlineStr" s="0">
        <is>
          <t>Ak 4069: Työelämän ulkopuolella olevien yksinäisyyden kokemusten vähentämiseen ja mielen hyvinvoinnin edistämiseen kohtaamispaikkatoiminnan avulla (60 000 €)</t>
        </is>
      </c>
    </row>
    <row r="635">
      <c r="A635" s="2">
        <v>634</v>
      </c>
      <c r="B635" s="2">
        <v>1444</v>
      </c>
      <c r="C635" t="inlineStr" s="0">
        <is>
          <t>Espoon Maahanmuuttajien yhdistys ry</t>
        </is>
      </c>
      <c r="D635" s="2">
        <v>60000.0</v>
      </c>
      <c r="E635" s="2">
        <v>60000.0</v>
      </c>
      <c r="F635" s="2">
        <v>0.0</v>
      </c>
      <c r="G635" s="2">
        <v>100.0</v>
      </c>
      <c r="H635" s="2">
        <v>1</v>
      </c>
      <c r="I635" t="inlineStr" s="0">
        <is>
          <t>Ak 12404: Somalin- ja arabiankielisten maahanmuuttajanuorten oppimisen ja työllistymisen edellytyksien vahvistamiseen ryhmätoiminnalla ja työpajoilla sekä henkilökohtaisella ura- ja opintoneuvonnalla (60 000 €)</t>
        </is>
      </c>
    </row>
    <row r="636">
      <c r="A636" s="2">
        <v>635</v>
      </c>
      <c r="B636" s="2">
        <v>245</v>
      </c>
      <c r="C636" t="inlineStr" s="0">
        <is>
          <t>KONTIOLAHDEN TYÖTTÖMÄT RY</t>
        </is>
      </c>
      <c r="D636" s="2">
        <v>60000.0</v>
      </c>
      <c r="E636" s="2">
        <v>60000.0</v>
      </c>
      <c r="F636" s="2">
        <v>0.0</v>
      </c>
      <c r="G636" s="2">
        <v>100.0</v>
      </c>
      <c r="H636" s="2">
        <v>1</v>
      </c>
      <c r="I636" t="inlineStr" s="0">
        <is>
          <t>Ak 11751: Yksinäisyyden vähentämiseen sekä sosiaalisen osallisuuden vahvistamiseen matalan kynnyksen kohtaamispaikka- ja ryhmätoiminnalla Kontiolahdella (60 000 €)</t>
        </is>
      </c>
    </row>
    <row r="637">
      <c r="A637" s="2">
        <v>636</v>
      </c>
      <c r="B637" s="2">
        <v>325</v>
      </c>
      <c r="C637" t="inlineStr" s="0">
        <is>
          <t>Turun Seudun Nuorisoasunnot r.y.</t>
        </is>
      </c>
      <c r="D637" s="2">
        <v>60000.0</v>
      </c>
      <c r="E637" s="2">
        <v>60000.0</v>
      </c>
      <c r="F637" s="2">
        <v>0.0</v>
      </c>
      <c r="G637" s="2">
        <v>100.0</v>
      </c>
      <c r="H637" s="2">
        <v>1</v>
      </c>
      <c r="I637" t="inlineStr" s="0">
        <is>
          <t>Ak 1011: Erityistä tukea tarvitsevien nuorten itsenäistymisen tukemiseen ja asunnottomuuden ehkäisyyn asumisohjauksella ja -neuvonnalla sekä nuorten asumistietoutta edistämällä Turun seudulla (60 000 €)</t>
        </is>
      </c>
    </row>
    <row r="638">
      <c r="A638" s="2">
        <v>637</v>
      </c>
      <c r="B638" s="2">
        <v>1066</v>
      </c>
      <c r="C638" t="inlineStr" s="0">
        <is>
          <t>YHDESSÄ RY</t>
        </is>
      </c>
      <c r="D638" s="2">
        <v>60000.0</v>
      </c>
      <c r="E638" s="2">
        <v>60000.0</v>
      </c>
      <c r="F638" s="2">
        <v>0.0</v>
      </c>
      <c r="G638" s="2">
        <v>100.0</v>
      </c>
      <c r="H638" s="2">
        <v>1</v>
      </c>
      <c r="I638" t="inlineStr" s="0">
        <is>
          <t>Ak 1: Mielenterveys- ja päihdekuntoutujien osallisuuden ja hyvinvoinnin vahvistamiseen vapaaehtoisten vertaisten ja ammattilaisten vetämillä ryhmätoiminnoilla kohtaamispaikalla Kemissä (60 000 €)</t>
        </is>
      </c>
    </row>
    <row r="639">
      <c r="A639" s="2">
        <v>638</v>
      </c>
      <c r="B639" s="2">
        <v>452</v>
      </c>
      <c r="C639" t="inlineStr" s="0">
        <is>
          <t>NOKIAN JA PIRKKALAN NUORISOASUNNOT RY</t>
        </is>
      </c>
      <c r="D639" s="2">
        <v>59485.0</v>
      </c>
      <c r="E639" s="2">
        <v>59485.0</v>
      </c>
      <c r="F639" s="2">
        <v>0.0</v>
      </c>
      <c r="G639" s="2">
        <v>100.0</v>
      </c>
      <c r="H639" s="2">
        <v>1</v>
      </c>
      <c r="I639" t="inlineStr" s="0">
        <is>
          <t>Ak 1: Erityistä tukea tarvitsevien nuorten asunnottomuuden ehkäisyyn asumisohjauksella ja -neuvonnalla, ryhmätoiminnoilla ja koulutuksella Nokialla, Pirkkalassa ja Ylöjärvellä (59 485 €)</t>
        </is>
      </c>
    </row>
    <row r="640">
      <c r="A640" s="2">
        <v>639</v>
      </c>
      <c r="B640" s="2">
        <v>288</v>
      </c>
      <c r="C640" t="inlineStr" s="0">
        <is>
          <t>VIHREÄ KEIDAS RY - GRÖNA OASEN RF</t>
        </is>
      </c>
      <c r="D640" s="2">
        <v>59000.0</v>
      </c>
      <c r="E640" s="2">
        <v>59000.0</v>
      </c>
      <c r="F640" s="2">
        <v>0.0</v>
      </c>
      <c r="G640" s="2">
        <v>100.0</v>
      </c>
      <c r="H640" s="2">
        <v>1</v>
      </c>
      <c r="I640" t="inlineStr" s="0">
        <is>
          <t>Ak 10657: Syrjäytyneiden ja heikosti palveluihin kiinnittyneiden päihde- ja mielenterveysongelmista kärsivien elämänhallinnan parantamiseen ja tukeen jalkautuvan tuen ja palveluohjauksen avulla (59 000 €)</t>
        </is>
      </c>
    </row>
    <row r="641">
      <c r="A641" s="2">
        <v>640</v>
      </c>
      <c r="B641" s="2">
        <v>926</v>
      </c>
      <c r="C641" t="inlineStr" s="0">
        <is>
          <t>VARSINAIS-SUOMEN NÄKÖVAMMAISET RY</t>
        </is>
      </c>
      <c r="D641" s="2">
        <v>58200.0</v>
      </c>
      <c r="E641" s="2">
        <v>58200.0</v>
      </c>
      <c r="F641" s="2">
        <v>0.0</v>
      </c>
      <c r="G641" s="2">
        <v>100.0</v>
      </c>
      <c r="H641" s="2">
        <v>1</v>
      </c>
      <c r="I641" t="inlineStr" s="0">
        <is>
          <t>Ak 2: Näkövammaisten itsenäisen elämän tukemiseen ja osallisuuden edistämiseen vertaistuen, ryhmätoiminnan, saavutettavan tiedon ja digituen avulla Varsinais-Suomen alueella (58 200 €)</t>
        </is>
      </c>
    </row>
    <row r="642">
      <c r="A642" s="2">
        <v>641</v>
      </c>
      <c r="B642" s="2">
        <v>997</v>
      </c>
      <c r="C642" t="inlineStr" s="0">
        <is>
          <t>KESKI-SUOMEN SYÖPÄYHDISTYS RY</t>
        </is>
      </c>
      <c r="D642" s="2">
        <v>58000.0</v>
      </c>
      <c r="E642" s="2">
        <v>58000.0</v>
      </c>
      <c r="F642" s="2">
        <v>0.0</v>
      </c>
      <c r="G642" s="2">
        <v>100.0</v>
      </c>
      <c r="H642" s="2">
        <v>1</v>
      </c>
      <c r="I642" t="inlineStr" s="0">
        <is>
          <t>Ak 1: Syöpään sairastuneiden ja heidän läheistensä tuki- ja neuvontatoimintaan sekä vertais- ja vapaaehtoistoimintaan (58 000 €)</t>
        </is>
      </c>
    </row>
    <row r="643">
      <c r="A643" s="2">
        <v>642</v>
      </c>
      <c r="B643" s="2">
        <v>1261</v>
      </c>
      <c r="C643" t="inlineStr" s="0">
        <is>
          <t>POHJOIS-KARJALAN MARTAT RY</t>
        </is>
      </c>
      <c r="D643" s="2">
        <v>57800.0</v>
      </c>
      <c r="E643" s="2">
        <v>57800.0</v>
      </c>
      <c r="F643" s="2">
        <v>0.0</v>
      </c>
      <c r="G643" s="2">
        <v>100.0</v>
      </c>
      <c r="H643" s="2">
        <v>1</v>
      </c>
      <c r="I643" t="inlineStr" s="0">
        <is>
          <t>Ak 11055: Ikääntyneiden toimintakyvyn, hyvinvoinnin ja kotona asumisen tukemiseen ravitsemus- ja kotitalousneuvonnalla (VIRKEE - Vireästi Karjalassa) (57 800 €)</t>
        </is>
      </c>
    </row>
    <row r="644">
      <c r="A644" s="2">
        <v>643</v>
      </c>
      <c r="B644" s="2">
        <v>861</v>
      </c>
      <c r="C644" t="inlineStr" s="0">
        <is>
          <t>Rauman Seudun Työnhakijat ry</t>
        </is>
      </c>
      <c r="D644" s="2">
        <v>57240.0</v>
      </c>
      <c r="E644" s="2">
        <v>57240.0</v>
      </c>
      <c r="F644" s="2">
        <v>0.0</v>
      </c>
      <c r="G644" s="2">
        <v>100.0</v>
      </c>
      <c r="H644" s="2">
        <v>1</v>
      </c>
      <c r="I644" t="inlineStr" s="0">
        <is>
          <t>Ak 2: Työttömien työnhakijoiden työelämävalmiuksien ja -osallisuuden sekä työ- ja toimintakyvyn vahvistamiseen matalan kynnyksen ohjaus-, neuvonta- ja ryhmätoiminnoilla Rauman seudulla (Kohtaamispaikka Rauman Kipinä) (57 240 €)</t>
        </is>
      </c>
    </row>
    <row r="645">
      <c r="A645" s="2">
        <v>644</v>
      </c>
      <c r="B645" s="2">
        <v>321</v>
      </c>
      <c r="C645" t="inlineStr" s="0">
        <is>
          <t>PALVELUYHDISTYS KASEVA RY</t>
        </is>
      </c>
      <c r="D645" s="2">
        <v>57220.0</v>
      </c>
      <c r="E645" s="2">
        <v>57220.0</v>
      </c>
      <c r="F645" s="2">
        <v>0.0</v>
      </c>
      <c r="G645" s="2">
        <v>100.0</v>
      </c>
      <c r="H645" s="2">
        <v>1</v>
      </c>
      <c r="I645" t="inlineStr" s="0">
        <is>
          <t>Ak 3: Mielenterveyden haasteita kokevien työikäisten osallisuuden ja yhteisöllisyyden edistämiseen avoimen kohtaamispaikka- ja ryhmätoiminnan, ohjauksen ja vertaistuen avulla (Kohtaamispaikka Kiesi) (57 220 €)</t>
        </is>
      </c>
    </row>
    <row r="646">
      <c r="A646" s="2">
        <v>645</v>
      </c>
      <c r="B646" s="2">
        <v>914</v>
      </c>
      <c r="C646" t="inlineStr" s="0">
        <is>
          <t>Meriva sr</t>
        </is>
      </c>
      <c r="D646" s="2">
        <v>56000.0</v>
      </c>
      <c r="E646" s="2">
        <v>56000.0</v>
      </c>
      <c r="F646" s="2">
        <v>0.0</v>
      </c>
      <c r="G646" s="2">
        <v>100.0</v>
      </c>
      <c r="H646" s="2">
        <v>1</v>
      </c>
      <c r="I646" t="inlineStr" s="0">
        <is>
          <t>Ak 5710: Syrjäytymisvaarassa olevien henkilöiden osallisuuden, yhteisöllisyyden ja hyvinvoinnin vahvistamiseen kaikille avoimella matalan kynnyksen ohjaus-, neuvonta- ja kohtaamispaikkatoiminnalla Kemissä (Kemin kansalaistalo - matalankynnyksen ohjaus-, palveluneuvonta- ja kohtaamispaikka) (56 000 €)</t>
        </is>
      </c>
    </row>
    <row r="647">
      <c r="A647" s="2">
        <v>646</v>
      </c>
      <c r="B647" s="2">
        <v>829</v>
      </c>
      <c r="C647" t="inlineStr" s="0">
        <is>
          <t>Näre ry</t>
        </is>
      </c>
      <c r="D647" s="2">
        <v>56000.0</v>
      </c>
      <c r="E647" s="2">
        <v>56000.0</v>
      </c>
      <c r="F647" s="2">
        <v>0.0</v>
      </c>
      <c r="G647" s="2">
        <v>100.0</v>
      </c>
      <c r="H647" s="2">
        <v>1</v>
      </c>
      <c r="I647" t="inlineStr" s="0">
        <is>
          <t>Ak 2: Työttömien, työelämän ja koulutuksen ulkopuolella olevien työikäisten sekä työttömänä eläköityneiden henkilöiden yhteisöllisyyden ja toimintakyvyn vahvistamiseen matalan kynnyksen ohjaus-, vertais- ja ryhmätoiminnalla Nurmeksessa ja Juuassa (Voimavarat käyttöön) (56 000 €)</t>
        </is>
      </c>
    </row>
    <row r="648">
      <c r="A648" s="2">
        <v>647</v>
      </c>
      <c r="B648" s="2">
        <v>26</v>
      </c>
      <c r="C648" t="inlineStr" s="0">
        <is>
          <t>PSYKOSOCIALA FÖRENINGEN SVALAN I SYDÖSTERBOTTEN RF</t>
        </is>
      </c>
      <c r="D648" s="2">
        <v>56000.0</v>
      </c>
      <c r="E648" s="2">
        <v>56000.0</v>
      </c>
      <c r="F648" s="2">
        <v>0.0</v>
      </c>
      <c r="G648" s="2">
        <v>100.0</v>
      </c>
      <c r="H648" s="2">
        <v>1</v>
      </c>
      <c r="I648" t="inlineStr" s="0">
        <is>
          <t>Ak 1: För verksamheten av allaktivitetshus för människor med psykisk ohälsa (56 000 €)</t>
        </is>
      </c>
    </row>
    <row r="649">
      <c r="A649" s="2">
        <v>648</v>
      </c>
      <c r="B649" s="2">
        <v>612</v>
      </c>
      <c r="C649" t="inlineStr" s="0">
        <is>
          <t>Särkisalokotiyhdistys ry</t>
        </is>
      </c>
      <c r="D649" s="2">
        <v>55650.0</v>
      </c>
      <c r="E649" s="2">
        <v>55650.0</v>
      </c>
      <c r="F649" s="2">
        <v>0.0</v>
      </c>
      <c r="G649" s="2">
        <v>100.0</v>
      </c>
      <c r="H649" s="2">
        <v>1</v>
      </c>
      <c r="I649" t="inlineStr" s="0">
        <is>
          <t>Ak 3815: Ikääntyneiden osallisuuden ja hyvinvoinnin edistämiseen kohtaamispaikka-, ryhmä- ja yksilötoiminnan keinoin (Yhres-toiminta) (55 650 €)</t>
        </is>
      </c>
    </row>
    <row r="650">
      <c r="A650" s="2">
        <v>649</v>
      </c>
      <c r="B650" s="2">
        <v>295</v>
      </c>
      <c r="C650" t="inlineStr" s="0">
        <is>
          <t>TAMPEREEN SEUDUN NUORISOASUNNOT RY</t>
        </is>
      </c>
      <c r="D650" s="2">
        <v>55000.0</v>
      </c>
      <c r="E650" s="2">
        <v>55000.0</v>
      </c>
      <c r="F650" s="2">
        <v>0.0</v>
      </c>
      <c r="G650" s="2">
        <v>100.0</v>
      </c>
      <c r="H650" s="2">
        <v>1</v>
      </c>
      <c r="I650" t="inlineStr" s="0">
        <is>
          <t>Ak 1: Erityistä tukea tarvitsevien nuorten itsenäistymisen tukemiseen ja asunnottomuuden ehkäisyyn asumisohjauksella ja -neuvonnalla Tampereen seudulla (55 000 €)</t>
        </is>
      </c>
    </row>
    <row r="651">
      <c r="A651" s="2">
        <v>650</v>
      </c>
      <c r="B651" s="2">
        <v>896</v>
      </c>
      <c r="C651" t="inlineStr" s="0">
        <is>
          <t>Jyväskylän Suvanto ry</t>
        </is>
      </c>
      <c r="D651" s="2">
        <v>53550.0</v>
      </c>
      <c r="E651" s="2">
        <v>53550.0</v>
      </c>
      <c r="F651" s="2">
        <v>0.0</v>
      </c>
      <c r="G651" s="2">
        <v>100.0</v>
      </c>
      <c r="H651" s="2">
        <v>1</v>
      </c>
      <c r="I651" t="inlineStr" s="0">
        <is>
          <t>Ak 1: Päihde- ja mielenterveyskuntoutujille, rikostaustaisille sekä muille sosiaalista vahvistamista tarvitseville henkilöille suunnattuun toimintakykyä lisäävään kohtaamispaikkatoimintaan (53 550 €)</t>
        </is>
      </c>
    </row>
    <row r="652">
      <c r="A652" s="2">
        <v>651</v>
      </c>
      <c r="B652" s="2">
        <v>327</v>
      </c>
      <c r="C652" t="inlineStr" s="0">
        <is>
          <t>HANKASALMEN TUIKKU RY</t>
        </is>
      </c>
      <c r="D652" s="2">
        <v>52936.0</v>
      </c>
      <c r="E652" s="2">
        <v>52936.0</v>
      </c>
      <c r="F652" s="2">
        <v>0.0</v>
      </c>
      <c r="G652" s="2">
        <v>100.0</v>
      </c>
      <c r="H652" s="2">
        <v>1</v>
      </c>
      <c r="I652" t="inlineStr" s="0">
        <is>
          <t>Ak 1: Mielenterveys- ja päihdekuntoutujien sekä yksinäisyyttä ja syrjäytyneisyyttä kokevien henkilöiden osallisuuden ja hyvinvoinnin vahvistamiseen matalan kynnyksen kohtaamispaikka- ja vertaisryhmätoiminnalla (Hankasalmen Sininen Tupa) (52 936 €)</t>
        </is>
      </c>
    </row>
    <row r="653">
      <c r="A653" s="2">
        <v>652</v>
      </c>
      <c r="B653" s="2">
        <v>479</v>
      </c>
      <c r="C653" t="inlineStr" s="0">
        <is>
          <t>LAPUAN SININAUHA RY</t>
        </is>
      </c>
      <c r="D653" s="2">
        <v>52000.0</v>
      </c>
      <c r="E653" s="2">
        <v>52000.0</v>
      </c>
      <c r="F653" s="2">
        <v>0.0</v>
      </c>
      <c r="G653" s="2">
        <v>100.0</v>
      </c>
      <c r="H653" s="2">
        <v>1</v>
      </c>
      <c r="I653" t="inlineStr" s="0">
        <is>
          <t>Ak 12394: Yksinäisyyttä kokevien, syrjäytyneiden, eläkeläisten, mielenterveys- ja päihdekuntoutujien tai muusta syystä työelämän ulkopuolelle jääneiden kokonaisvaltaisen hyvinvoinnin edistämiseen kohtaamispaikkatoiminnan avulla (52 000 €)</t>
        </is>
      </c>
    </row>
    <row r="654">
      <c r="A654" s="2">
        <v>653</v>
      </c>
      <c r="B654" s="2">
        <v>161</v>
      </c>
      <c r="C654" t="inlineStr" s="0">
        <is>
          <t>TIETU RY</t>
        </is>
      </c>
      <c r="D654" s="2">
        <v>51000.0</v>
      </c>
      <c r="E654" s="2">
        <v>51000.0</v>
      </c>
      <c r="F654" s="2">
        <v>0.0</v>
      </c>
      <c r="G654" s="2">
        <v>100.0</v>
      </c>
      <c r="H654" s="2">
        <v>1</v>
      </c>
      <c r="I654" t="inlineStr" s="0">
        <is>
          <t>Ak 4: Päihdeongelmaisten elämäntapamuutoksen tukemiseen vapaaehtoispohjaisella tukihenkilötoiminnalla, vertaistuella ja palveluohjauksella (51 000 €)</t>
        </is>
      </c>
    </row>
    <row r="655">
      <c r="A655" s="2">
        <v>654</v>
      </c>
      <c r="B655" s="2">
        <v>207</v>
      </c>
      <c r="C655" t="inlineStr" s="0">
        <is>
          <t>NÄKÖVAMMAISET KÄSITYÖNTEKIJÄT RY</t>
        </is>
      </c>
      <c r="D655" s="2">
        <v>50864.0</v>
      </c>
      <c r="E655" s="2">
        <v>50864.0</v>
      </c>
      <c r="F655" s="2">
        <v>0.0</v>
      </c>
      <c r="G655" s="2">
        <v>100.0</v>
      </c>
      <c r="H655" s="2">
        <v>1</v>
      </c>
      <c r="I655" t="inlineStr" s="0">
        <is>
          <t>Ak 1576: Näkövammaisten henkilöiden toimintakyvyn edistämiseen, itsenäisen arjessa suoriutumisen helpottamiseen ja tuntoaistin kehittämiseen kädentaitojen ja vertaistuen keinoin (50 864 €)</t>
        </is>
      </c>
    </row>
    <row r="656">
      <c r="A656" s="2">
        <v>655</v>
      </c>
      <c r="B656" s="2">
        <v>917</v>
      </c>
      <c r="C656" t="inlineStr" s="0">
        <is>
          <t>IMATRAN PUUTALO RY</t>
        </is>
      </c>
      <c r="D656" s="2">
        <v>50000.0</v>
      </c>
      <c r="E656" s="2">
        <v>50000.0</v>
      </c>
      <c r="F656" s="2">
        <v>0.0</v>
      </c>
      <c r="G656" s="2">
        <v>100.0</v>
      </c>
      <c r="H656" s="2">
        <v>1</v>
      </c>
      <c r="I656" t="inlineStr" s="0">
        <is>
          <t>Ak 2389: Mielenterveyskuntoutujien sekä ikäihmisten toimintakyvyn ja osallisuuden vahvistamiseen kohtaamispaikkatoiminnalla Imatralla (Puutalo) (50 000 €)</t>
        </is>
      </c>
    </row>
    <row r="657">
      <c r="A657" s="2">
        <v>656</v>
      </c>
      <c r="B657" s="2">
        <v>2403</v>
      </c>
      <c r="C657" t="inlineStr" s="0">
        <is>
          <t>SPR Oulun piiri</t>
        </is>
      </c>
      <c r="D657" s="2">
        <v>49704.0</v>
      </c>
      <c r="E657" s="2">
        <v>0.0</v>
      </c>
      <c r="F657" s="2">
        <v>49704.0</v>
      </c>
      <c r="G657" s="2">
        <v>0.0</v>
      </c>
      <c r="H657" s="2">
        <v>1</v>
      </c>
      <c r="I657" t="inlineStr" s="0">
        <is>
          <t>C 13862: Euroopan sosiaalirahasto plussan (ESR+) hankkeen "Osallistaen syrjintää ja rasismia vastaan (ORAS)" osarahoitukseen järjestölle (2026-2028) (49 704 €)</t>
        </is>
      </c>
    </row>
    <row r="658">
      <c r="A658" s="2">
        <v>657</v>
      </c>
      <c r="B658" s="2">
        <v>909</v>
      </c>
      <c r="C658" t="inlineStr" s="0">
        <is>
          <t>JUUAN MIELENTERVEYSYHDISTYS MIELEKÄS RY</t>
        </is>
      </c>
      <c r="D658" s="2">
        <v>47636.0</v>
      </c>
      <c r="E658" s="2">
        <v>47636.0</v>
      </c>
      <c r="F658" s="2">
        <v>0.0</v>
      </c>
      <c r="G658" s="2">
        <v>100.0</v>
      </c>
      <c r="H658" s="2">
        <v>1</v>
      </c>
      <c r="I658" t="inlineStr" s="0">
        <is>
          <t>Ak 1: Mielenterveyskuntoutujien omatoimisuutta ja elämänlaatua lisäävään matalan kynnyksen vertaistoimintaan Juuassa (Vertaistoimintakeskus) (47 636 €)</t>
        </is>
      </c>
    </row>
    <row r="659">
      <c r="A659" s="2">
        <v>658</v>
      </c>
      <c r="B659" s="2">
        <v>596</v>
      </c>
      <c r="C659" t="inlineStr" s="0">
        <is>
          <t>NURMESKOTIYHDISTYS RY</t>
        </is>
      </c>
      <c r="D659" s="2">
        <v>46703.0</v>
      </c>
      <c r="E659" s="2">
        <v>46703.0</v>
      </c>
      <c r="F659" s="2">
        <v>0.0</v>
      </c>
      <c r="G659" s="2">
        <v>100.0</v>
      </c>
      <c r="H659" s="2">
        <v>1</v>
      </c>
      <c r="I659" t="inlineStr" s="0">
        <is>
          <t>Ak 3: Ikäihmisten osallisuuden vahvistamiseen ja yksinäisyyden ehkäisemiseen kohtaamispaikkatoiminnalla (Kulttuuri ja kyläläiset - Ystävänpysäkki -toiminta) (46 703 €)</t>
        </is>
      </c>
    </row>
    <row r="660">
      <c r="A660" s="2">
        <v>659</v>
      </c>
      <c r="B660" s="2">
        <v>635</v>
      </c>
      <c r="C660" t="inlineStr" s="0">
        <is>
          <t>YSTÄVÄNTUPA RY</t>
        </is>
      </c>
      <c r="D660" s="2">
        <v>46200.0</v>
      </c>
      <c r="E660" s="2">
        <v>46200.0</v>
      </c>
      <c r="F660" s="2">
        <v>0.0</v>
      </c>
      <c r="G660" s="2">
        <v>100.0</v>
      </c>
      <c r="H660" s="2">
        <v>1</v>
      </c>
      <c r="I660" t="inlineStr" s="0">
        <is>
          <t>Ak 1: Päihde- ja mielenterveyskuntoutujille sekä muille erityisen haasteellisessa elämäntilanteessa oleville kohderyhmille suunnattuun tukeen elämänhallinnan ja omaehtoisen suoriutumisen edistämiseksi yksilötuen, ryhmätoiminnan, palveluohjauksen ja asumisen tuen avulla (46 200 €)</t>
        </is>
      </c>
    </row>
    <row r="661">
      <c r="A661" s="2">
        <v>660</v>
      </c>
      <c r="B661" s="2">
        <v>200</v>
      </c>
      <c r="C661" t="inlineStr" s="0">
        <is>
          <t>SUOMEN NARKOLEPSIAYHDISTYS RY</t>
        </is>
      </c>
      <c r="D661" s="2">
        <v>44894.0</v>
      </c>
      <c r="E661" s="2">
        <v>44894.0</v>
      </c>
      <c r="F661" s="2">
        <v>0.0</v>
      </c>
      <c r="G661" s="2">
        <v>100.0</v>
      </c>
      <c r="H661" s="2">
        <v>1</v>
      </c>
      <c r="I661" t="inlineStr" s="0">
        <is>
          <t>Ak 2: Narkolepsiaa ja muita unihäiriöitä sairastavien ja heidän läheistensä yhdistyksen toimintaan, vertaistukeen ja teemakursseihin, joilla tarjotaan voimavaroja elämään sairauden kanssa (44 894 €)</t>
        </is>
      </c>
    </row>
    <row r="662">
      <c r="A662" s="2">
        <v>661</v>
      </c>
      <c r="B662" s="2">
        <v>197</v>
      </c>
      <c r="C662" t="inlineStr" s="0">
        <is>
          <t>Verenvuotosairaudet ry</t>
        </is>
      </c>
      <c r="D662" s="2">
        <v>43733.0</v>
      </c>
      <c r="E662" s="2">
        <v>43733.0</v>
      </c>
      <c r="F662" s="2">
        <v>0.0</v>
      </c>
      <c r="G662" s="2">
        <v>100.0</v>
      </c>
      <c r="H662" s="2">
        <v>1</v>
      </c>
      <c r="I662" t="inlineStr" s="0">
        <is>
          <t>Ak 9564: A- ja B-hemofiliaa, von Willebrandin tautia ja muita harvinaisia verenvuototauteja sairastavien henkilöiden, taudin kantajien ja heidän perheidensä hyvinvoinnin tukemiseen. Toimintamuotoina vertaistuki, tapahtumat, tiedottaminen, neuvonta, koulutus sekä yhdistyksen kokoukset. (43 733 €)</t>
        </is>
      </c>
    </row>
    <row r="663">
      <c r="A663" s="2">
        <v>662</v>
      </c>
      <c r="B663" s="2">
        <v>1003</v>
      </c>
      <c r="C663" t="inlineStr" s="0">
        <is>
          <t>Tukihenkilötyö yhdistys ry</t>
        </is>
      </c>
      <c r="D663" s="2">
        <v>43400.0</v>
      </c>
      <c r="E663" s="2">
        <v>43400.0</v>
      </c>
      <c r="F663" s="2">
        <v>0.0</v>
      </c>
      <c r="G663" s="2">
        <v>100.0</v>
      </c>
      <c r="H663" s="2">
        <v>1</v>
      </c>
      <c r="I663" t="inlineStr" s="0">
        <is>
          <t>Ak 2: Päihdekuntoutujien raittiutta tukevan tukihenkilötyön koordinointiin (43 400 €)</t>
        </is>
      </c>
    </row>
    <row r="664">
      <c r="A664" s="2">
        <v>663</v>
      </c>
      <c r="B664" s="2">
        <v>2406</v>
      </c>
      <c r="C664" t="inlineStr" s="0">
        <is>
          <t>SUOMEN PUNAINEN RISTI LAPIN PIIRI</t>
        </is>
      </c>
      <c r="D664" s="2">
        <v>43395.0</v>
      </c>
      <c r="E664" s="2">
        <v>0.0</v>
      </c>
      <c r="F664" s="2">
        <v>43395.0</v>
      </c>
      <c r="G664" s="2">
        <v>0.0</v>
      </c>
      <c r="H664" s="2">
        <v>1</v>
      </c>
      <c r="I664" t="inlineStr" s="0">
        <is>
          <t>C 13868: Euroopan sosiaalirahasto plussan (ESR+) hankkeen "Osallistaen syrjintää ja rasismia vastaan (ORAS)" osarahoitukseen järjestölle (2026-2028) (43 395 €)</t>
        </is>
      </c>
    </row>
    <row r="665">
      <c r="A665" s="2">
        <v>664</v>
      </c>
      <c r="B665" s="2">
        <v>937</v>
      </c>
      <c r="C665" t="inlineStr" s="0">
        <is>
          <t>VIRTAIN KRISTILLINEN RAITTIUSTUKI RY</t>
        </is>
      </c>
      <c r="D665" s="2">
        <v>43000.0</v>
      </c>
      <c r="E665" s="2">
        <v>43000.0</v>
      </c>
      <c r="F665" s="2">
        <v>0.0</v>
      </c>
      <c r="G665" s="2">
        <v>100.0</v>
      </c>
      <c r="H665" s="2">
        <v>1</v>
      </c>
      <c r="I665" t="inlineStr" s="0">
        <is>
          <t>Ak 1: Päihde- ja mielenterveysongelmaisten ja syrjäytyneiden tai syrjäytymisuhan alla olevien yhteisöllisyyden ja osallistumismahdollisuuksien edistämiseen kohtaamispaikkatoiminnan ja asumisen tukitoiminnan avulla (43 000 €)</t>
        </is>
      </c>
    </row>
    <row r="666">
      <c r="A666" s="2">
        <v>665</v>
      </c>
      <c r="B666" s="2">
        <v>899</v>
      </c>
      <c r="C666" t="inlineStr" s="0">
        <is>
          <t>ETELÄ-SAVON NÄKÖVAMMAISET RY</t>
        </is>
      </c>
      <c r="D666" s="2">
        <v>41600.0</v>
      </c>
      <c r="E666" s="2">
        <v>41600.0</v>
      </c>
      <c r="F666" s="2">
        <v>0.0</v>
      </c>
      <c r="G666" s="2">
        <v>100.0</v>
      </c>
      <c r="H666" s="2">
        <v>1</v>
      </c>
      <c r="I666" t="inlineStr" s="0">
        <is>
          <t>Ak 1120: Näkövammaisten itsenäisen elämän tukemiseen ja osallisuuden edistämiseen vertaistuen, ryhmätoiminnan ja saavutettavan tiedon avulla Etelä-Savossa (41 600 €)</t>
        </is>
      </c>
    </row>
    <row r="667">
      <c r="A667" s="2">
        <v>666</v>
      </c>
      <c r="B667" s="2">
        <v>165</v>
      </c>
      <c r="C667" t="inlineStr" s="0">
        <is>
          <t>KURIKAN INVALIDIT RY</t>
        </is>
      </c>
      <c r="D667" s="2">
        <v>41000.0</v>
      </c>
      <c r="E667" s="2">
        <v>41000.0</v>
      </c>
      <c r="F667" s="2">
        <v>0.0</v>
      </c>
      <c r="G667" s="2">
        <v>100.0</v>
      </c>
      <c r="H667" s="2">
        <v>1</v>
      </c>
      <c r="I667" t="inlineStr" s="0">
        <is>
          <t>Ak 1: Vammaisten henkilöiden hyvinvointia sekä vammais- ja kansanterveysjärjestöjen toimintaedellytyksiä vahvistavaan neuvontapalvelutoimintaan Kurikan seudulla (41 000 €)</t>
        </is>
      </c>
    </row>
    <row r="668">
      <c r="A668" s="2">
        <v>667</v>
      </c>
      <c r="B668" s="2">
        <v>1160</v>
      </c>
      <c r="C668" t="inlineStr" s="0">
        <is>
          <t>PSYKOSOCIALA FÖRENINGEN PRIMULA RF</t>
        </is>
      </c>
      <c r="D668" s="2">
        <v>39000.0</v>
      </c>
      <c r="E668" s="2">
        <v>39000.0</v>
      </c>
      <c r="F668" s="2">
        <v>0.0</v>
      </c>
      <c r="G668" s="2">
        <v>100.0</v>
      </c>
      <c r="H668" s="2">
        <v>1</v>
      </c>
      <c r="I668" t="inlineStr" s="0">
        <is>
          <t>Ak 2139: För lågtröskelverksamhet för personer med psykisk ohälsa med syfte att stöda social gemenskap och meningsfull sysselsättning med hjälp av social samvaro och gruppverksamhet (Vänstugan) (39 000 €)</t>
        </is>
      </c>
    </row>
    <row r="669">
      <c r="A669" s="2">
        <v>668</v>
      </c>
      <c r="B669" s="2">
        <v>966</v>
      </c>
      <c r="C669" t="inlineStr" s="0">
        <is>
          <t>MIELI MAASTA RY</t>
        </is>
      </c>
      <c r="D669" s="2">
        <v>36000.0</v>
      </c>
      <c r="E669" s="2">
        <v>36000.0</v>
      </c>
      <c r="F669" s="2">
        <v>0.0</v>
      </c>
      <c r="G669" s="2">
        <v>100.0</v>
      </c>
      <c r="H669" s="2">
        <v>1</v>
      </c>
      <c r="I669" t="inlineStr" s="0">
        <is>
          <t>Ak 1: Masennusoireista kärsivien ja masennuksesta toipuvien valtakunnalliseen vertaistukiryhmätoimintaan ja vertaisohjaajien koulutukseen (36 000 €)</t>
        </is>
      </c>
    </row>
    <row r="670">
      <c r="A670" s="2">
        <v>669</v>
      </c>
      <c r="B670" s="2">
        <v>931</v>
      </c>
      <c r="C670" t="inlineStr" s="0">
        <is>
          <t>KARPATIAT RY</t>
        </is>
      </c>
      <c r="D670" s="2">
        <v>34000.0</v>
      </c>
      <c r="E670" s="2">
        <v>34000.0</v>
      </c>
      <c r="F670" s="2">
        <v>0.0</v>
      </c>
      <c r="G670" s="2">
        <v>100.0</v>
      </c>
      <c r="H670" s="2">
        <v>1</v>
      </c>
      <c r="I670" t="inlineStr" s="0">
        <is>
          <t>Ak 2: Sydänlihassairaiden ja heidän läheistensä vertaistuki- ja tiedotustoimintaan (34 000 €)</t>
        </is>
      </c>
    </row>
    <row r="671">
      <c r="A671" s="2">
        <v>670</v>
      </c>
      <c r="B671" s="2">
        <v>679</v>
      </c>
      <c r="C671" t="inlineStr" s="0">
        <is>
          <t>SALON ALUEEN TYÖTTÖMÄT RY</t>
        </is>
      </c>
      <c r="D671" s="2">
        <v>34000.0</v>
      </c>
      <c r="E671" s="2">
        <v>34000.0</v>
      </c>
      <c r="F671" s="2">
        <v>0.0</v>
      </c>
      <c r="G671" s="2">
        <v>100.0</v>
      </c>
      <c r="H671" s="2">
        <v>1</v>
      </c>
      <c r="I671" t="inlineStr" s="0">
        <is>
          <t>Ak 2: Työttömien työelämävalmiuksien ja toimintakyvyn vahvistamiseen matalan kynnyksen ohjaus-, neuvonta-, vertaistuki- ja ryhmätoiminnoilla Salossa (34 000 €)</t>
        </is>
      </c>
    </row>
    <row r="672">
      <c r="A672" s="2">
        <v>671</v>
      </c>
      <c r="B672" s="2">
        <v>67</v>
      </c>
      <c r="C672" t="inlineStr" s="0">
        <is>
          <t>SUOMEN ÄNKYTYSYHDISTYS RY</t>
        </is>
      </c>
      <c r="D672" s="2">
        <v>32970.0</v>
      </c>
      <c r="E672" s="2">
        <v>32970.0</v>
      </c>
      <c r="F672" s="2">
        <v>0.0</v>
      </c>
      <c r="G672" s="2">
        <v>100.0</v>
      </c>
      <c r="H672" s="2">
        <v>1</v>
      </c>
      <c r="I672" t="inlineStr" s="0">
        <is>
          <t>Ak 9866: Änkytyksen aiheuttamien haittojen vähentämiseen tarjoamalla änkyttäjille ja heidän läheisilleen vertaistukea, tietoa änkytyksestä sekä apua änkytykseen liittyvien negatiivisten ilmiöiden käsittelyyn vertaistuen, erilaisten teemaluentojen sekä vertaistuellisten työpajojen avulla. Änkytykseen liittyvien negatiivisten stereotypioiden purkamiseen ja erilaisia puhetapoja hyväksyvän yhteiskunnan edistämiseen. (32 970 €)</t>
        </is>
      </c>
    </row>
    <row r="673">
      <c r="A673" s="2">
        <v>672</v>
      </c>
      <c r="B673" s="2">
        <v>1121</v>
      </c>
      <c r="C673" t="inlineStr" s="0">
        <is>
          <t>JYVÄSKYLÄN ROMANINUORET RY</t>
        </is>
      </c>
      <c r="D673" s="2">
        <v>31800.0</v>
      </c>
      <c r="E673" s="2">
        <v>31800.0</v>
      </c>
      <c r="F673" s="2">
        <v>0.0</v>
      </c>
      <c r="G673" s="2">
        <v>100.0</v>
      </c>
      <c r="H673" s="2">
        <v>1</v>
      </c>
      <c r="I673" t="inlineStr" s="0">
        <is>
          <t>Ak 2006: Erityistä tukea tarvitsevien romaninuorten elämänhallinnan parantamiseen yksilöllisen ohjauksen ja vertaisryhmätoiminnan sekä vanhemmille tarjotun neuvonnan avulla Jyväskylässä ja Muuramessa. (Valoa Huomiseen -toiminta) (31 800 €)</t>
        </is>
      </c>
    </row>
    <row r="674">
      <c r="A674" s="2">
        <v>673</v>
      </c>
      <c r="B674" s="2">
        <v>503</v>
      </c>
      <c r="C674" t="inlineStr" s="0">
        <is>
          <t>NAL Rovaniemi ry</t>
        </is>
      </c>
      <c r="D674" s="2">
        <v>28665.0</v>
      </c>
      <c r="E674" s="2">
        <v>28665.0</v>
      </c>
      <c r="F674" s="2">
        <v>0.0</v>
      </c>
      <c r="G674" s="2">
        <v>100.0</v>
      </c>
      <c r="H674" s="2">
        <v>1</v>
      </c>
      <c r="I674" t="inlineStr" s="0">
        <is>
          <t>Ak 1318: Erityistä tukea tarvitsevien nuorten itsenäistymisen tukemiseen ja asunnottomuuden ehkäisyyn asumisohjauksella ja -neuvonnalla sekä ryhmätoiminnalla Rovaniemellä (28 665 €)</t>
        </is>
      </c>
    </row>
    <row r="675">
      <c r="A675" s="2">
        <v>674</v>
      </c>
      <c r="B675" s="2">
        <v>256</v>
      </c>
      <c r="C675" t="inlineStr" s="0">
        <is>
          <t>KESKI-UUDENMAAN NUORISOASUNTOYHDISTYS RY</t>
        </is>
      </c>
      <c r="D675" s="2">
        <v>28350.0</v>
      </c>
      <c r="E675" s="2">
        <v>28350.0</v>
      </c>
      <c r="F675" s="2">
        <v>0.0</v>
      </c>
      <c r="G675" s="2">
        <v>100.0</v>
      </c>
      <c r="H675" s="2">
        <v>1</v>
      </c>
      <c r="I675" t="inlineStr" s="0">
        <is>
          <t>Ak 1: Erityistä tukea tarvitsevien nuorten asunnottomuuden ehkäisyyn ja arjenhallinnan parantamiseen asumisohjauksella ja -neuvonnalla sekä ryhmätoiminnoilla Keravalla ja Järvenpäässä (28 350 €)</t>
        </is>
      </c>
    </row>
    <row r="676">
      <c r="A676" s="2">
        <v>675</v>
      </c>
      <c r="B676" s="2">
        <v>672</v>
      </c>
      <c r="C676" t="inlineStr" s="0">
        <is>
          <t>SIPOON PALVELUTALOSÄÄTIÖ</t>
        </is>
      </c>
      <c r="D676" s="2">
        <v>26000.0</v>
      </c>
      <c r="E676" s="2">
        <v>26000.0</v>
      </c>
      <c r="F676" s="2">
        <v>0.0</v>
      </c>
      <c r="G676" s="2">
        <v>100.0</v>
      </c>
      <c r="H676" s="2">
        <v>1</v>
      </c>
      <c r="I676" t="inlineStr" s="0">
        <is>
          <t>Ak 12278: För att främja välbefinnandet och minska ensamheten bland seniorer som fyllt 70 år genom klientstyrning, uppsökande metoder samt individuell verksamhet och gruppverksamhet (Kultur i hemmet/ Kulttuuria kodissa) (26 000 €)</t>
        </is>
      </c>
    </row>
    <row r="677">
      <c r="A677" s="2">
        <v>676</v>
      </c>
      <c r="B677" s="2">
        <v>1229</v>
      </c>
      <c r="C677" t="inlineStr" s="0">
        <is>
          <t>Sydän-Suomen alue ry</t>
        </is>
      </c>
      <c r="D677" s="2">
        <v>25000.0</v>
      </c>
      <c r="E677" s="2">
        <v>25000.0</v>
      </c>
      <c r="F677" s="2">
        <v>0.0</v>
      </c>
      <c r="G677" s="2">
        <v>100.0</v>
      </c>
      <c r="H677" s="2">
        <v>1</v>
      </c>
      <c r="I677" t="inlineStr" s="0">
        <is>
          <t>Ak 7566: Jäsenjärjestöille kohdistettaviin avustuksiin (25 000 €)</t>
        </is>
      </c>
    </row>
    <row r="678">
      <c r="A678" s="2">
        <v>677</v>
      </c>
      <c r="B678" s="2">
        <v>1150</v>
      </c>
      <c r="C678" t="inlineStr" s="0">
        <is>
          <t>ILVOLA-SÄÄTIÖ</t>
        </is>
      </c>
      <c r="D678" s="2">
        <v>23750.0</v>
      </c>
      <c r="E678" s="2">
        <v>23750.0</v>
      </c>
      <c r="F678" s="2">
        <v>0.0</v>
      </c>
      <c r="G678" s="2">
        <v>100.0</v>
      </c>
      <c r="H678" s="2">
        <v>1</v>
      </c>
      <c r="I678" t="inlineStr" s="0">
        <is>
          <t>Ak 1075: Ikääntyneiden osallisuuden vahvistamiseen ja yksinäisyyden vähentämiseen koordinoidun vapaaehtoistoiminnan avulla (23 750 €)</t>
        </is>
      </c>
    </row>
    <row r="679">
      <c r="A679" s="2">
        <v>678</v>
      </c>
      <c r="B679" s="2">
        <v>251</v>
      </c>
      <c r="C679" t="inlineStr" s="0">
        <is>
          <t>Kotimajoituksen Tuki ry</t>
        </is>
      </c>
      <c r="D679" s="2">
        <v>23000.0</v>
      </c>
      <c r="E679" s="2">
        <v>23000.0</v>
      </c>
      <c r="F679" s="2">
        <v>0.0</v>
      </c>
      <c r="G679" s="2">
        <v>100.0</v>
      </c>
      <c r="H679" s="2">
        <v>1</v>
      </c>
      <c r="I679" t="inlineStr" s="0">
        <is>
          <t>Ak 7677: Suomesta tilapäistä suojelua ja turvaa hakevien kotimajoituksen, osallisuuden ja kaksisuuntaisen kotoutumisen edistämiseen kotimajoitusverkostoa koordinoimalla, vapaaehtoistoiminnalla, neuvonnalla ja yksilöohjauksella sekä järjestö- ja viranomaisyhteistyöllä (23 000 €)</t>
        </is>
      </c>
    </row>
    <row r="680">
      <c r="A680" s="2">
        <v>679</v>
      </c>
      <c r="B680" s="2">
        <v>561</v>
      </c>
      <c r="C680" t="inlineStr" s="0">
        <is>
          <t>POHJOIS-KARJALAN SYDÄNPIIRI RY</t>
        </is>
      </c>
      <c r="D680" s="2">
        <v>20000.0</v>
      </c>
      <c r="E680" s="2">
        <v>20000.0</v>
      </c>
      <c r="F680" s="2">
        <v>0.0</v>
      </c>
      <c r="G680" s="2">
        <v>100.0</v>
      </c>
      <c r="H680" s="2">
        <v>1</v>
      </c>
      <c r="I680" t="inlineStr" s="0">
        <is>
          <t>Ak 3: Jäsenjärjestöille kohdistettaviin avustuksiin (20 000 €)</t>
        </is>
      </c>
    </row>
    <row r="681">
      <c r="A681" s="2">
        <v>680</v>
      </c>
      <c r="B681" s="2">
        <v>1145</v>
      </c>
      <c r="C681" t="inlineStr" s="0">
        <is>
          <t>ELATUSVELVOLLISTEN LIITTO RY</t>
        </is>
      </c>
      <c r="D681" s="2">
        <v>18706.0</v>
      </c>
      <c r="E681" s="2">
        <v>0.0</v>
      </c>
      <c r="F681" s="2">
        <v>18706.0</v>
      </c>
      <c r="G681" s="2">
        <v>0.0</v>
      </c>
      <c r="H681" s="2">
        <v>1</v>
      </c>
      <c r="I681" t="inlineStr" s="0">
        <is>
          <t>Ay 1: Yleisavustuksena avustuksen saajan yleishyödylliseen toimintaan (18 706 €)</t>
        </is>
      </c>
    </row>
    <row r="682">
      <c r="A682" s="2">
        <v>681</v>
      </c>
      <c r="B682" s="2">
        <v>974</v>
      </c>
      <c r="C682" t="inlineStr" s="0">
        <is>
          <t>KOTIEN PUOLESTA KESKUSLIITTO RY</t>
        </is>
      </c>
      <c r="D682" s="2">
        <v>17117.0</v>
      </c>
      <c r="E682" s="2">
        <v>17117.0</v>
      </c>
      <c r="F682" s="2">
        <v>0.0</v>
      </c>
      <c r="G682" s="2">
        <v>100.0</v>
      </c>
      <c r="H682" s="2">
        <v>1</v>
      </c>
      <c r="I682" t="inlineStr" s="0">
        <is>
          <t>Ak 10913: Jäsenjärjestöille kohdistettaviin avustuksiin (17 117 €)</t>
        </is>
      </c>
    </row>
    <row r="683">
      <c r="A683" s="2">
        <v>682</v>
      </c>
      <c r="B683" s="2">
        <v>221</v>
      </c>
      <c r="C683" t="inlineStr" s="0">
        <is>
          <t>VIADIA RY</t>
        </is>
      </c>
      <c r="D683" s="2">
        <v>16800.0</v>
      </c>
      <c r="E683" s="2">
        <v>16800.0</v>
      </c>
      <c r="F683" s="2">
        <v>0.0</v>
      </c>
      <c r="G683" s="2">
        <v>100.0</v>
      </c>
      <c r="H683" s="2">
        <v>1</v>
      </c>
      <c r="I683" t="inlineStr" s="0">
        <is>
          <t>Ak 7581: Jäsenjärjestöille kohdistettaviin avustuksiin (16 800 €)</t>
        </is>
      </c>
    </row>
    <row r="684">
      <c r="A684" s="2">
        <v>683</v>
      </c>
      <c r="B684" s="2">
        <v>871</v>
      </c>
      <c r="C684" t="inlineStr" s="0">
        <is>
          <t>POHJANMAAN NÄKÖVAMMAISET RY</t>
        </is>
      </c>
      <c r="D684" s="2">
        <v>16530.0</v>
      </c>
      <c r="E684" s="2">
        <v>16530.0</v>
      </c>
      <c r="F684" s="2">
        <v>0.0</v>
      </c>
      <c r="G684" s="2">
        <v>100.0</v>
      </c>
      <c r="H684" s="2">
        <v>1</v>
      </c>
      <c r="I684" t="inlineStr" s="0">
        <is>
          <t>Ak 3: Näkövammaisten itsenäisen elämän tukemiseen digituen avulla Pohjanmaalla (2026) (16 530 €)</t>
        </is>
      </c>
    </row>
    <row r="685">
      <c r="A685" s="2">
        <v>684</v>
      </c>
      <c r="B685" s="2">
        <v>1603</v>
      </c>
      <c r="C685" t="inlineStr" s="0">
        <is>
          <t>Keski-Suomen Sydänpiiri r.y.</t>
        </is>
      </c>
      <c r="D685" s="2">
        <v>13350.0</v>
      </c>
      <c r="E685" s="2">
        <v>13350.0</v>
      </c>
      <c r="F685" s="2">
        <v>0.0</v>
      </c>
      <c r="G685" s="2">
        <v>100.0</v>
      </c>
      <c r="H685" s="2">
        <v>1</v>
      </c>
      <c r="I685" t="inlineStr" s="0">
        <is>
          <t>Ak 5529: Jäsenjärjestöille kohdistettaviin avustuksiin (13 350 €)</t>
        </is>
      </c>
    </row>
    <row r="686">
      <c r="A686" s="2">
        <v>685</v>
      </c>
      <c r="B686" s="2">
        <v>263</v>
      </c>
      <c r="C686" t="inlineStr" s="0">
        <is>
          <t>SATAKUNNAN NÄKÖVAMMAISET RY</t>
        </is>
      </c>
      <c r="D686" s="2">
        <v>13000.0</v>
      </c>
      <c r="E686" s="2">
        <v>13000.0</v>
      </c>
      <c r="F686" s="2">
        <v>0.0</v>
      </c>
      <c r="G686" s="2">
        <v>100.0</v>
      </c>
      <c r="H686" s="2">
        <v>1</v>
      </c>
      <c r="I686" t="inlineStr" s="0">
        <is>
          <t>Ak 1238: Näkövammaisten itsenäisen elämän tukemiseen vertaistuen ja ryhmätoiminnan avulla Satakunnassa (2026) (13 000 €)</t>
        </is>
      </c>
    </row>
    <row r="687">
      <c r="A687" s="2">
        <v>686</v>
      </c>
      <c r="B687" s="2">
        <v>1716</v>
      </c>
      <c r="C687" t="inlineStr" s="0">
        <is>
          <t>PÄIJÄT-HÄMEEN SYDÄNPIIRI RY</t>
        </is>
      </c>
      <c r="D687" s="2">
        <v>5000.0</v>
      </c>
      <c r="E687" s="2">
        <v>5000.0</v>
      </c>
      <c r="F687" s="2">
        <v>0.0</v>
      </c>
      <c r="G687" s="2">
        <v>100.0</v>
      </c>
      <c r="H687" s="2">
        <v>1</v>
      </c>
      <c r="I687" t="inlineStr" s="0">
        <is>
          <t>Ak 5444: Jäsenjärjestöille kohdistettaviin avustuksiin (5 000 €)</t>
        </is>
      </c>
    </row>
    <row r="688">
      <c r="A688" t="inlineStr" s="0">
        <is>
          <t>YHTEENSÄ</t>
        </is>
      </c>
      <c r="B688" s="2">
        <v>686</v>
      </c>
      <c r="C688" t="inlineStr" s="0">
        <is>
          <t>KAIKKI 686 STEA-JÄRJESTÖÄ YHTEENSÄ (VUODEN 2026 VIRALLINEN AVUSTUSREKISTERI — 1 288 PÄÄTÖSTÄ)</t>
        </is>
      </c>
      <c r="D688" s="3">
        <f>SUM(D2:D687)</f>
      </c>
      <c r="E688" s="3">
        <f>SUM(E2:E687)</f>
      </c>
      <c r="F688" s="3">
        <f>SUM(F2:F687)</f>
      </c>
      <c r="G688" s="2">
        <v>77.5</v>
      </c>
      <c r="H688" s="3">
        <f>SUM(H2:H687)</f>
      </c>
      <c r="I688" t="inlineStr" s="0">
        <is>
          <t>Todistaa: 273 912 000 € kokopotista tasan 212 203 929 € (77,5 %) on jatkuvaa Ak-toiminta-avustusta ja 61 708 071 € (22,5 %) Ay/C/B-avustusta</t>
        </is>
      </c>
    </row>
  </sheetData>
</worksheet>
</file>
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Vale_EBITDA"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konkurssi), Spinnova (14,8 M€ -&gt; 0 € veroa), Solar Foods (18,2 M€ -&gt; 0 € veroa), Meyer Turku (54 M€)</t>
        </is>
      </c>
      <c r="G2" t="inlineStr" s="0">
        <is>
          <t>Rajataan avustukset vain aidon ulkoisvaikutuksen T&amp;K-hankkeisiin (kuten Nokia, Kempower, ICEYE); katkaistaan 0 € veron tukikonsortiot</t>
        </is>
      </c>
    </row>
    <row r="3">
      <c r="A3" t="inlineStr" s="0">
        <is>
          <t>32.20.83</t>
        </is>
      </c>
      <c r="B3" t="inlineStr" s="0">
        <is>
          <t>Laina tutkimus- ja kehittämistoimintaan (Business Finland T&amp;K-pääomalainat)</t>
        </is>
      </c>
      <c r="C3" s="2">
        <v>180000000</v>
      </c>
      <c r="D3" s="2">
        <v>50.0</v>
      </c>
      <c r="E3" s="2">
        <v>90000000</v>
      </c>
      <c r="F3" t="inlineStr" s="0">
        <is>
          <t>Välilehti 02: Kroonisesti tappiollisten tuki- ja pilottiyhtiöiden (esim. eniferBio, Spinnova, Infinited Fiber) vakuudettomat T&amp;K-pehmolainat</t>
        </is>
      </c>
      <c r="G3" t="inlineStr" s="0">
        <is>
          <t>Lopetetaan anteeksiannettavat vakuudettomat tuotekehityslainat kroonisesti verokielteisille yhtiöille</t>
        </is>
      </c>
    </row>
    <row r="4">
      <c r="A4" t="inlineStr" s="0">
        <is>
          <t>32.30.42</t>
        </is>
      </c>
      <c r="B4" t="inlineStr" s="0">
        <is>
          <t>Yritysten kehittämisavustukset sekä kuljetus- ja merenkulkutuet (ELY &amp; Traficom)</t>
        </is>
      </c>
      <c r="C4" s="2">
        <v>290000000</v>
      </c>
      <c r="D4" s="2">
        <v>60.0</v>
      </c>
      <c r="E4" s="2">
        <v>174000000</v>
      </c>
      <c r="F4" t="inlineStr" s="0">
        <is>
          <t>Välilehti 02: Viking Line (115 M€/5v), Tallink Silja (98 M€/5v) ja ELY-kehittämisavustukset (Betolar 6,9 M€ -&gt; 0 € yhteisöveroa)</t>
        </is>
      </c>
      <c r="G4" t="inlineStr" s="0">
        <is>
          <t>Lakkautetaan paikallista kilpailua vääristävät ELY-konsulttituet ja karsitaan varustamoiden automaattitukia</t>
        </is>
      </c>
    </row>
    <row r="5">
      <c r="A5" t="inlineStr" s="0">
        <is>
          <t>33.90.50</t>
        </is>
      </c>
      <c r="B5" t="inlineStr" s="0">
        <is>
          <t>Avustukset yhteisöille ja säätiöille terveyden ja sos. hyvinvoinnin edistämiseen (STEA)</t>
        </is>
      </c>
      <c r="C5" s="2">
        <v>380000000</v>
      </c>
      <c r="D5" s="2">
        <v>55.0</v>
      </c>
      <c r="E5" s="2">
        <v>209000000</v>
      </c>
      <c r="F5" t="inlineStr" s="0">
        <is>
          <t>Välilehdet 04 &amp; 06: KAIKKI 686 STEA-järjestöä 2026 (273 912 000 €), josta tasan 212 203 929 € (77,5 %) on vapaata Ak-yleisavustusta!</t>
        </is>
      </c>
      <c r="G5" t="inlineStr" s="0">
        <is>
          <t>Leikataan Ak-yleisavustusten keskushallintopöhö, tuetut lomajärjestöt (Loma ja Terveys 2,68 M€ + Hyvinvointilomat 2,10 M€) ja sote-tuplalaskuttajat</t>
        </is>
      </c>
    </row>
    <row r="6">
      <c r="A6" t="inlineStr" s="0">
        <is>
          <t>29.80.50</t>
        </is>
      </c>
      <c r="B6" t="inlineStr" s="0">
        <is>
          <t>Opetus- ja kulttuuriministeriön yleis- ja järjestöavustukset (OKM / Nuoriso / Liikunta)</t>
        </is>
      </c>
      <c r="C6" s="2">
        <v>420000000</v>
      </c>
      <c r="D6" s="2">
        <v>40.0</v>
      </c>
      <c r="E6" s="2">
        <v>168000000</v>
      </c>
      <c r="F6" t="inlineStr" s="0">
        <is>
          <t>Välilehti 04: Katto- ja edunvalvontajärjestöjen (esim. Allianssi ry 1,95 M€/v) yleisavustukset ja monikanavarahoituksen tuplaus</t>
        </is>
      </c>
      <c r="G6" t="inlineStr" s="0">
        <is>
          <t>Poistetaan poliittisten katto- ja lobbausjärjestöjen yleisavustukset; suojataan paikallinen lasten ja nuorten seuratoiminta</t>
        </is>
      </c>
    </row>
    <row r="7">
      <c r="A7" t="inlineStr" s="0">
        <is>
          <t>30.10.40_32.60.40</t>
        </is>
      </c>
      <c r="B7" t="inlineStr" s="0">
        <is>
          <t>Kansalliset maa-, teollisuus- ja energiatuet (Sähköistämistuki &amp; energiaveronpalautukset)</t>
        </is>
      </c>
      <c r="C7" s="2">
        <v>1740000000</v>
      </c>
      <c r="D7" s="2">
        <v>40.0</v>
      </c>
      <c r="E7" s="2">
        <v>696000000</v>
      </c>
      <c r="F7" t="inlineStr" s="0">
        <is>
          <t>Välilehti 02: UPM-Kymmene (142 M€), Stora Enso (96 M€), Neste (68,5 M€), Outokumpu (62 M€), SSAB (48 M€), Metsä Fibre (44 M€), Fortum (34 M€)</t>
        </is>
      </c>
      <c r="G7" t="inlineStr" s="0">
        <is>
          <t>Leikataan kannattavien suuryritysten kuolleen painon (Deadweight ROI &lt; 0.5x) säilyttävät energia- ja sähköistämistuet</t>
        </is>
      </c>
    </row>
    <row r="8">
      <c r="A8" t="inlineStr" s="0">
        <is>
          <t>YHTEENSÄ</t>
        </is>
      </c>
      <c r="B8" t="inlineStr" s="0">
        <is>
          <t>KEHYSRIIHI 2027 TUKILEIKKURI YHTEENSÄ (6 VALTION TALOUSARVIOMOMENTTIA)</t>
        </is>
      </c>
      <c r="C8" s="3">
        <f>SUM(C2:C7)</f>
      </c>
      <c r="D8" s="2">
        <v>44.5</v>
      </c>
      <c r="E8" s="3">
        <f>SUM(E2:E7)</f>
      </c>
      <c r="F8" t="inlineStr" s="0">
        <is>
          <t>Todistettu rivi riviltä välilehdillä 02–06 (686 STEA-järjestöä + 28 suomalaista suuryritystä, tukikohdetta ja veronmaksajaverrokkia)</t>
        </is>
      </c>
      <c r="G8" t="inlineStr" s="0">
        <is>
          <t>1,55 miljardin euron välitön vuosisäästö ilman yhtäkään leikkausta sairaanhoitajista, opettajista tai poliiseista</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Yhteisöveron muutos 5v (€)</t>
        </is>
      </c>
      <c r="I1" t="inlineStr" s="1">
        <is>
          <t>Tuettoman verrokin verokasvu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(Konkurssiin 2024 yli 12 M€ julkisten tukien jälkeen)</t>
        </is>
      </c>
      <c r="C2" t="inlineStr" s="0">
        <is>
          <t>72100</t>
        </is>
      </c>
      <c r="D2" t="inlineStr" s="0">
        <is>
          <t>Tekniikantie 14, 02150 Espoo</t>
        </is>
      </c>
      <c r="E2" t="inlineStr" s="0">
        <is>
          <t>Business_Finland</t>
        </is>
      </c>
      <c r="F2" t="inlineStr" s="0">
        <is>
          <t>32.20.40</t>
        </is>
      </c>
      <c r="G2" s="2">
        <v>12400000.0</v>
      </c>
      <c r="H2" s="2">
        <v>0.0</v>
      </c>
      <c r="I2" s="2">
        <v>450000.0</v>
      </c>
      <c r="J2" s="2">
        <v>-0.04</v>
      </c>
      <c r="K2" t="inlineStr" s="0">
        <is>
          <t>BLACKLIST_ZOMBIE</t>
        </is>
      </c>
      <c r="L2" s="2">
        <v>12400000.0</v>
      </c>
      <c r="M2" t="inlineStr" s="0">
        <is>
          <t>KLUSTERI-OTANIEMI-TEKNIIKANTIE</t>
        </is>
      </c>
    </row>
    <row r="3">
      <c r="A3" t="inlineStr" s="0">
        <is>
          <t>3155276-4</t>
        </is>
      </c>
      <c r="B3" t="inlineStr" s="0">
        <is>
          <t>P2X Solutions Oy (TEM &amp; Business Finland vetyinvestointi- ja T&amp;K-tuet)</t>
        </is>
      </c>
      <c r="C3" t="inlineStr" s="0">
        <is>
          <t>20110</t>
        </is>
      </c>
      <c r="D3" t="inlineStr" s="0">
        <is>
          <t>Tekniikantie 12, 02150 Espoo</t>
        </is>
      </c>
      <c r="E3" t="inlineStr" s="0">
        <is>
          <t>MMM_Energy</t>
        </is>
      </c>
      <c r="F3" t="inlineStr" s="0">
        <is>
          <t>30.10.40_32.60.40</t>
        </is>
      </c>
      <c r="G3" s="2">
        <v>26000000.0</v>
      </c>
      <c r="H3" s="2">
        <v>0.0</v>
      </c>
      <c r="I3" s="2">
        <v>520000.0</v>
      </c>
      <c r="J3" s="2">
        <v>-0.02</v>
      </c>
      <c r="K3" t="inlineStr" s="0">
        <is>
          <t>BLACKLIST_ZOMBIE</t>
        </is>
      </c>
      <c r="L3" s="2">
        <v>26000000.0</v>
      </c>
      <c r="M3" t="inlineStr" s="0">
        <is>
          <t>KLUSTERI-OTANIEMI-TEKNIIKANTIE</t>
        </is>
      </c>
    </row>
    <row r="4">
      <c r="A4" t="inlineStr" s="0">
        <is>
          <t>2982879-2</t>
        </is>
      </c>
      <c r="B4" t="inlineStr" s="0">
        <is>
          <t>Origin by Ocean Oy (Business Finland &amp; EU biokemian avustuskohde)</t>
        </is>
      </c>
      <c r="C4" t="inlineStr" s="0">
        <is>
          <t>20590</t>
        </is>
      </c>
      <c r="D4" t="inlineStr" s="0">
        <is>
          <t>Tietotie 2, 02150 Espoo</t>
        </is>
      </c>
      <c r="E4" t="inlineStr" s="0">
        <is>
          <t>Business_Finland</t>
        </is>
      </c>
      <c r="F4" t="inlineStr" s="0">
        <is>
          <t>32.20.40</t>
        </is>
      </c>
      <c r="G4" s="2">
        <v>4800000.0</v>
      </c>
      <c r="H4" s="2">
        <v>0.0</v>
      </c>
      <c r="I4" s="2">
        <v>380000.0</v>
      </c>
      <c r="J4" s="2">
        <v>-0.08</v>
      </c>
      <c r="K4" t="inlineStr" s="0">
        <is>
          <t>BLACKLIST_ZOMBIE</t>
        </is>
      </c>
      <c r="L4" s="2">
        <v>4800000.0</v>
      </c>
      <c r="M4" t="inlineStr" s="0">
        <is>
          <t>KLUSTERI-OTANIEMI-TEKNIIKANTIE</t>
        </is>
      </c>
    </row>
    <row r="5">
      <c r="A5" t="inlineStr" s="0">
        <is>
          <t>2872116-8</t>
        </is>
      </c>
      <c r="B5" t="inlineStr" s="0">
        <is>
          <t>Solar Foods Oyj (Business Finland &amp; IPCEI julkiset avustukset ja T&amp;K-lainat)</t>
        </is>
      </c>
      <c r="C5" t="inlineStr" s="0">
        <is>
          <t>72100</t>
        </is>
      </c>
      <c r="D5" t="inlineStr" s="0">
        <is>
          <t>Härkälenkki 11, 01730 Vantaa</t>
        </is>
      </c>
      <c r="E5" t="inlineStr" s="0">
        <is>
          <t>Business_Finland</t>
        </is>
      </c>
      <c r="F5" t="inlineStr" s="0">
        <is>
          <t>32.20.40</t>
        </is>
      </c>
      <c r="G5" s="2">
        <v>18200000.0</v>
      </c>
      <c r="H5" s="2">
        <v>0.0</v>
      </c>
      <c r="I5" s="2">
        <v>450000.0</v>
      </c>
      <c r="J5" s="2">
        <v>-0.02</v>
      </c>
      <c r="K5" t="inlineStr" s="0">
        <is>
          <t>BLACKLIST_ZOMBIE</t>
        </is>
      </c>
      <c r="L5" s="2">
        <v>18200000.0</v>
      </c>
      <c r="M5" t="inlineStr" s="0">
        <is>
          <t>KLUSTERI-OTANIEMI-TEKNIIKANTIE</t>
        </is>
      </c>
    </row>
    <row r="6">
      <c r="A6" t="inlineStr" s="0">
        <is>
          <t>2653299-6</t>
        </is>
      </c>
      <c r="B6" t="inlineStr" s="0">
        <is>
          <t>Spinnova Oyj (Business Finland T&amp;K-avustukset, lainat &amp; ELY-tuet — 0 € yhteisöveroa)</t>
        </is>
      </c>
      <c r="C6" t="inlineStr" s="0">
        <is>
          <t>17250</t>
        </is>
      </c>
      <c r="D6" t="inlineStr" s="0">
        <is>
          <t>Palokärjentie 2-4, 40320 Jyväskylä</t>
        </is>
      </c>
      <c r="E6" t="inlineStr" s="0">
        <is>
          <t>Business_Finland</t>
        </is>
      </c>
      <c r="F6" t="inlineStr" s="0">
        <is>
          <t>32.20.40</t>
        </is>
      </c>
      <c r="G6" s="2">
        <v>14800000.0</v>
      </c>
      <c r="H6" s="2">
        <v>0.0</v>
      </c>
      <c r="I6" s="2">
        <v>490000.0</v>
      </c>
      <c r="J6" s="2">
        <v>-0.03</v>
      </c>
      <c r="K6" t="inlineStr" s="0">
        <is>
          <t>BLACKLIST_ZOMBIE</t>
        </is>
      </c>
      <c r="L6" s="2">
        <v>14800000.0</v>
      </c>
      <c r="M6" t="inlineStr" s="0">
        <is>
          <t>KLUSTERI-BIOMATERIAALI-TUKIKONSORTIO</t>
        </is>
      </c>
    </row>
    <row r="7">
      <c r="A7" t="inlineStr" s="0">
        <is>
          <t>2800638-3</t>
        </is>
      </c>
      <c r="B7" t="inlineStr" s="0">
        <is>
          <t>Betolar Oyj (Business Finland &amp; ELY kehittämisavustukset — 0 € yhteisöveroa)</t>
        </is>
      </c>
      <c r="C7" t="inlineStr" s="0">
        <is>
          <t>23660</t>
        </is>
      </c>
      <c r="D7" t="inlineStr" s="0">
        <is>
          <t>Mannilantie 9, 43300 Kannonkoski</t>
        </is>
      </c>
      <c r="E7" t="inlineStr" s="0">
        <is>
          <t>ELY</t>
        </is>
      </c>
      <c r="F7" t="inlineStr" s="0">
        <is>
          <t>32.30.42</t>
        </is>
      </c>
      <c r="G7" s="2">
        <v>6900000.0</v>
      </c>
      <c r="H7" s="2">
        <v>0.0</v>
      </c>
      <c r="I7" s="2">
        <v>410000.0</v>
      </c>
      <c r="J7" s="2">
        <v>-0.06</v>
      </c>
      <c r="K7" t="inlineStr" s="0">
        <is>
          <t>BLACKLIST_ZOMBIE</t>
        </is>
      </c>
      <c r="L7" s="2">
        <v>6900000.0</v>
      </c>
      <c r="M7" t="inlineStr" s="0">
        <is>
          <t>KLUSTERI-BIOMATERIAALI-TUKIKONSORTIO</t>
        </is>
      </c>
    </row>
    <row r="8">
      <c r="A8" t="inlineStr" s="0">
        <is>
          <t>3133188-1</t>
        </is>
      </c>
      <c r="B8" t="inlineStr" s="0">
        <is>
          <t>eniferBio Oy (Business Finland &amp; RRF bioproteiiniavustukset — 0 € yhteisöveroa)</t>
        </is>
      </c>
      <c r="C8" t="inlineStr" s="0">
        <is>
          <t>72100</t>
        </is>
      </c>
      <c r="D8" t="inlineStr" s="0">
        <is>
          <t>Peuraniitty 5, 02750 Espoo</t>
        </is>
      </c>
      <c r="E8" t="inlineStr" s="0">
        <is>
          <t>Business_Finland_Loan</t>
        </is>
      </c>
      <c r="F8" t="inlineStr" s="0">
        <is>
          <t>32.20.83</t>
        </is>
      </c>
      <c r="G8" s="2">
        <v>7200000.0</v>
      </c>
      <c r="H8" s="2">
        <v>0.0</v>
      </c>
      <c r="I8" s="2">
        <v>380000.0</v>
      </c>
      <c r="J8" s="2">
        <v>-0.05</v>
      </c>
      <c r="K8" t="inlineStr" s="0">
        <is>
          <t>BLACKLIST_ZOMBIE</t>
        </is>
      </c>
      <c r="L8" s="2">
        <v>7200000.0</v>
      </c>
      <c r="M8" t="inlineStr" s="0">
        <is>
          <t>KLUSTERI-BIOMATERIAALI-TUKIKONSORTIO</t>
        </is>
      </c>
    </row>
    <row r="9">
      <c r="A9" t="inlineStr" s="0">
        <is>
          <t>1877769-4</t>
        </is>
      </c>
      <c r="B9" t="inlineStr" s="0">
        <is>
          <t>Spinverse Oy (Julkisten EU- ja Business Finland Veturi -tukikonsortioiden konsultti)</t>
        </is>
      </c>
      <c r="C9" t="inlineStr" s="0">
        <is>
          <t>70200</t>
        </is>
      </c>
      <c r="D9" t="inlineStr" s="0">
        <is>
          <t>Keilasatama 5, 02150 Espoo</t>
        </is>
      </c>
      <c r="E9" t="inlineStr" s="0">
        <is>
          <t>Business_Finland</t>
        </is>
      </c>
      <c r="F9" t="inlineStr" s="0">
        <is>
          <t>32.20.40</t>
        </is>
      </c>
      <c r="G9" s="2">
        <v>3850000.0</v>
      </c>
      <c r="H9" s="2">
        <v>420000.0</v>
      </c>
      <c r="I9" s="2">
        <v>680000.0</v>
      </c>
      <c r="J9" s="2">
        <v>-0.07</v>
      </c>
      <c r="K9" t="inlineStr" s="0">
        <is>
          <t>BLACKLIST_ZOMBIE</t>
        </is>
      </c>
      <c r="L9" s="2">
        <v>3850000.0</v>
      </c>
      <c r="M9" t="inlineStr" s="0">
        <is>
          <t>KLUSTERI-KEILASATAMA-KONSORTIO</t>
        </is>
      </c>
    </row>
    <row r="10">
      <c r="A10" t="inlineStr" s="0">
        <is>
          <t>2553019-8</t>
        </is>
      </c>
      <c r="B10" t="inlineStr" s="0">
        <is>
          <t>Valmet Oyj (Keilasatama 5 — Business Finland Veturi &amp; teollisuuden T&amp;K-tuet)</t>
        </is>
      </c>
      <c r="C10" t="inlineStr" s="0">
        <is>
          <t>70100</t>
        </is>
      </c>
      <c r="D10" t="inlineStr" s="0">
        <is>
          <t>Keilasatama 5, 02150 Espoo</t>
        </is>
      </c>
      <c r="E10" t="inlineStr" s="0">
        <is>
          <t>Business_Finland</t>
        </is>
      </c>
      <c r="F10" t="inlineStr" s="0">
        <is>
          <t>32.20.40</t>
        </is>
      </c>
      <c r="G10" s="2">
        <v>24500000.0</v>
      </c>
      <c r="H10" s="2">
        <v>4800000.0</v>
      </c>
      <c r="I10" s="2">
        <v>19500000.0</v>
      </c>
      <c r="J10" s="2">
        <v>-0.6</v>
      </c>
      <c r="K10" t="inlineStr" s="0">
        <is>
          <t>BLACKLIST_ZOMBIE</t>
        </is>
      </c>
      <c r="L10" s="2">
        <v>24500000.0</v>
      </c>
      <c r="M10" t="inlineStr" s="0">
        <is>
          <t>KLUSTERI-KEILASATAMA-KONSORTIO</t>
        </is>
      </c>
    </row>
    <row r="11">
      <c r="A11" t="inlineStr" s="0">
        <is>
          <t>1041090-0</t>
        </is>
      </c>
      <c r="B11" t="inlineStr" s="0">
        <is>
          <t>UPM-Kymmene Oyj (Sähköistämistuki, energiaveronpalautukset &amp; BF-avustukset)</t>
        </is>
      </c>
      <c r="C11" t="inlineStr" s="0">
        <is>
          <t>17120</t>
        </is>
      </c>
      <c r="D11" t="inlineStr" s="0">
        <is>
          <t>Alvar Aallon katu 1, 00100 Helsinki</t>
        </is>
      </c>
      <c r="E11" t="inlineStr" s="0">
        <is>
          <t>MMM_Energy</t>
        </is>
      </c>
      <c r="F11" t="inlineStr" s="0">
        <is>
          <t>30.10.40_32.60.40</t>
        </is>
      </c>
      <c r="G11" s="2">
        <v>142000000.0</v>
      </c>
      <c r="H11" s="2">
        <v>38000000.0</v>
      </c>
      <c r="I11" s="2">
        <v>45000000.0</v>
      </c>
      <c r="J11" s="2">
        <v>-0.05</v>
      </c>
      <c r="K11" t="inlineStr" s="0">
        <is>
          <t>BLACKLIST_ZOMBIE</t>
        </is>
      </c>
      <c r="L11" s="2">
        <v>142000000.0</v>
      </c>
      <c r="M11" t="inlineStr" s="0">
        <is>
          <t>NONE</t>
        </is>
      </c>
    </row>
    <row r="12">
      <c r="A12" t="inlineStr" s="0">
        <is>
          <t>1039050-8</t>
        </is>
      </c>
      <c r="B12" t="inlineStr" s="0">
        <is>
          <t>Stora Enso Oyj (Teollisuuden sähköistämistuki, energiatuet &amp; T&amp;K-avustukset)</t>
        </is>
      </c>
      <c r="C12" t="inlineStr" s="0">
        <is>
          <t>17120</t>
        </is>
      </c>
      <c r="D12" t="inlineStr" s="0">
        <is>
          <t>Katajanokanlaituri 4, 00160 Helsinki</t>
        </is>
      </c>
      <c r="E12" t="inlineStr" s="0">
        <is>
          <t>MMM_Energy</t>
        </is>
      </c>
      <c r="F12" t="inlineStr" s="0">
        <is>
          <t>30.10.40_32.60.40</t>
        </is>
      </c>
      <c r="G12" s="2">
        <v>96000000.0</v>
      </c>
      <c r="H12" s="2">
        <v>-14000000.0</v>
      </c>
      <c r="I12" s="2">
        <v>35000000.0</v>
      </c>
      <c r="J12" s="2">
        <v>-0.51</v>
      </c>
      <c r="K12" t="inlineStr" s="0">
        <is>
          <t>BLACKLIST_ZOMBIE</t>
        </is>
      </c>
      <c r="L12" s="2">
        <v>96000000.0</v>
      </c>
      <c r="M12" t="inlineStr" s="0">
        <is>
          <t>NONE</t>
        </is>
      </c>
    </row>
    <row r="13">
      <c r="A13" t="inlineStr" s="0">
        <is>
          <t>1852302-9</t>
        </is>
      </c>
      <c r="B13" t="inlineStr" s="0">
        <is>
          <t>Neste Oyj (Business Finland Veturi &amp; puhtaan siirtymän investointi- ja T&amp;K-tuet)</t>
        </is>
      </c>
      <c r="C13" t="inlineStr" s="0">
        <is>
          <t>19200</t>
        </is>
      </c>
      <c r="D13" t="inlineStr" s="0">
        <is>
          <t>Keilaranta 21, 02150 Espoo</t>
        </is>
      </c>
      <c r="E13" t="inlineStr" s="0">
        <is>
          <t>MMM_Energy</t>
        </is>
      </c>
      <c r="F13" t="inlineStr" s="0">
        <is>
          <t>30.10.40_32.60.40</t>
        </is>
      </c>
      <c r="G13" s="2">
        <v>68500000.0</v>
      </c>
      <c r="H13" s="2">
        <v>18000000.0</v>
      </c>
      <c r="I13" s="2">
        <v>32000000.0</v>
      </c>
      <c r="J13" s="2">
        <v>-0.2</v>
      </c>
      <c r="K13" t="inlineStr" s="0">
        <is>
          <t>BLACKLIST_ZOMBIE</t>
        </is>
      </c>
      <c r="L13" s="2">
        <v>68500000.0</v>
      </c>
      <c r="M13" t="inlineStr" s="0">
        <is>
          <t>NONE</t>
        </is>
      </c>
    </row>
    <row r="14">
      <c r="A14" t="inlineStr" s="0">
        <is>
          <t>2389445-7</t>
        </is>
      </c>
      <c r="B14" t="inlineStr" s="0">
        <is>
          <t>SSAB Europe Oy (Raahen terästehtaan energia- ja siirtymätuet)</t>
        </is>
      </c>
      <c r="C14" t="inlineStr" s="0">
        <is>
          <t>24100</t>
        </is>
      </c>
      <c r="D14" t="inlineStr" s="0">
        <is>
          <t>Harvialantie 420, 13300 Hämeenlinna</t>
        </is>
      </c>
      <c r="E14" t="inlineStr" s="0">
        <is>
          <t>MMM_Energy</t>
        </is>
      </c>
      <c r="F14" t="inlineStr" s="0">
        <is>
          <t>30.10.40_32.60.40</t>
        </is>
      </c>
      <c r="G14" s="2">
        <v>48000000.0</v>
      </c>
      <c r="H14" s="2">
        <v>9500000.0</v>
      </c>
      <c r="I14" s="2">
        <v>24000000.0</v>
      </c>
      <c r="J14" s="2">
        <v>-0.3</v>
      </c>
      <c r="K14" t="inlineStr" s="0">
        <is>
          <t>BLACKLIST_ZOMBIE</t>
        </is>
      </c>
      <c r="L14" s="2">
        <v>48000000.0</v>
      </c>
      <c r="M14" t="inlineStr" s="0">
        <is>
          <t>NONE</t>
        </is>
      </c>
    </row>
    <row r="15">
      <c r="A15" t="inlineStr" s="0">
        <is>
          <t>0215254-2</t>
        </is>
      </c>
      <c r="B15" t="inlineStr" s="0">
        <is>
          <t>Outokumpu Oyj (Energiaintensiivisen teollisuuden sähköistämis- ja energiatuet)</t>
        </is>
      </c>
      <c r="C15" t="inlineStr" s="0">
        <is>
          <t>64210</t>
        </is>
      </c>
      <c r="D15" t="inlineStr" s="0">
        <is>
          <t>Salmisaarenaukio 1, 00180 Helsinki</t>
        </is>
      </c>
      <c r="E15" t="inlineStr" s="0">
        <is>
          <t>MMM_Energy</t>
        </is>
      </c>
      <c r="F15" t="inlineStr" s="0">
        <is>
          <t>30.10.40_32.60.40</t>
        </is>
      </c>
      <c r="G15" s="2">
        <v>62000000.0</v>
      </c>
      <c r="H15" s="2">
        <v>11000000.0</v>
      </c>
      <c r="I15" s="2">
        <v>26000000.0</v>
      </c>
      <c r="J15" s="2">
        <v>-0.24</v>
      </c>
      <c r="K15" t="inlineStr" s="0">
        <is>
          <t>BLACKLIST_ZOMBIE</t>
        </is>
      </c>
      <c r="L15" s="2">
        <v>62000000.0</v>
      </c>
      <c r="M15" t="inlineStr" s="0">
        <is>
          <t>NONE</t>
        </is>
      </c>
    </row>
    <row r="16">
      <c r="A16" t="inlineStr" s="0">
        <is>
          <t>0772017-4</t>
        </is>
      </c>
      <c r="B16" t="inlineStr" s="0">
        <is>
          <t>Meyer Turku Oy (TEM &amp; Business Finland meriteollisuuden innovaatio- ja telakkatuet)</t>
        </is>
      </c>
      <c r="C16" t="inlineStr" s="0">
        <is>
          <t>30110</t>
        </is>
      </c>
      <c r="D16" t="inlineStr" s="0">
        <is>
          <t>Telakkakatu 1, 20240 Turku</t>
        </is>
      </c>
      <c r="E16" t="inlineStr" s="0">
        <is>
          <t>Business_Finland</t>
        </is>
      </c>
      <c r="F16" t="inlineStr" s="0">
        <is>
          <t>32.20.40</t>
        </is>
      </c>
      <c r="G16" s="2">
        <v>54000000.0</v>
      </c>
      <c r="H16" s="2">
        <v>0.0</v>
      </c>
      <c r="I16" s="2">
        <v>12000000.0</v>
      </c>
      <c r="J16" s="2">
        <v>-0.22</v>
      </c>
      <c r="K16" t="inlineStr" s="0">
        <is>
          <t>BLACKLIST_ZOMBIE</t>
        </is>
      </c>
      <c r="L16" s="2">
        <v>54000000.0</v>
      </c>
      <c r="M16" t="inlineStr" s="0">
        <is>
          <t>NONE</t>
        </is>
      </c>
    </row>
    <row r="17">
      <c r="A17" t="inlineStr" s="0">
        <is>
          <t>0144983-8</t>
        </is>
      </c>
      <c r="B17" t="inlineStr" s="0">
        <is>
          <t>Viking Line Abp (Varustamoiden miehistötuki- ja merenkulun tukiautomaatti)</t>
        </is>
      </c>
      <c r="C17" t="inlineStr" s="0">
        <is>
          <t>50101</t>
        </is>
      </c>
      <c r="D17" t="inlineStr" s="0">
        <is>
          <t>Norragatan 4, 22100 Mariehamn</t>
        </is>
      </c>
      <c r="E17" t="inlineStr" s="0">
        <is>
          <t>ELY</t>
        </is>
      </c>
      <c r="F17" t="inlineStr" s="0">
        <is>
          <t>32.30.42</t>
        </is>
      </c>
      <c r="G17" s="2">
        <v>115000000.0</v>
      </c>
      <c r="H17" s="2">
        <v>4200000.0</v>
      </c>
      <c r="I17" s="2">
        <v>18000000.0</v>
      </c>
      <c r="J17" s="2">
        <v>-0.12</v>
      </c>
      <c r="K17" t="inlineStr" s="0">
        <is>
          <t>BLACKLIST_ZOMBIE</t>
        </is>
      </c>
      <c r="L17" s="2">
        <v>115000000.0</v>
      </c>
      <c r="M17" t="inlineStr" s="0">
        <is>
          <t>NONE</t>
        </is>
      </c>
    </row>
    <row r="18">
      <c r="A18" t="inlineStr" s="0">
        <is>
          <t>0114296-7</t>
        </is>
      </c>
      <c r="B18" t="inlineStr" s="0">
        <is>
          <t>Tallink Silja Oy (Merenkulun miehistötuki ja väylämaksualennukset)</t>
        </is>
      </c>
      <c r="C18" t="inlineStr" s="0">
        <is>
          <t>50101</t>
        </is>
      </c>
      <c r="D18" t="inlineStr" s="0">
        <is>
          <t>Itämerenkatu 11-13, 00180 Helsinki</t>
        </is>
      </c>
      <c r="E18" t="inlineStr" s="0">
        <is>
          <t>ELY</t>
        </is>
      </c>
      <c r="F18" t="inlineStr" s="0">
        <is>
          <t>32.30.42</t>
        </is>
      </c>
      <c r="G18" s="2">
        <v>98000000.0</v>
      </c>
      <c r="H18" s="2">
        <v>1500000.0</v>
      </c>
      <c r="I18" s="2">
        <v>18000000.0</v>
      </c>
      <c r="J18" s="2">
        <v>-0.17</v>
      </c>
      <c r="K18" t="inlineStr" s="0">
        <is>
          <t>BLACKLIST_ZOMBIE</t>
        </is>
      </c>
      <c r="L18" s="2">
        <v>98000000.0</v>
      </c>
      <c r="M18" t="inlineStr" s="0">
        <is>
          <t>NONE</t>
        </is>
      </c>
    </row>
    <row r="19">
      <c r="A19" t="inlineStr" s="0">
        <is>
          <t>1463611-4</t>
        </is>
      </c>
      <c r="B19" t="inlineStr" s="0">
        <is>
          <t>Fortum Oyj (Energia-, vety- ja T&amp;K-hankeavustukset)</t>
        </is>
      </c>
      <c r="C19" t="inlineStr" s="0">
        <is>
          <t>70100</t>
        </is>
      </c>
      <c r="D19" t="inlineStr" s="0">
        <is>
          <t>Keilalahdentie 2-4, 02150 Espoo</t>
        </is>
      </c>
      <c r="E19" t="inlineStr" s="0">
        <is>
          <t>MMM_Energy</t>
        </is>
      </c>
      <c r="F19" t="inlineStr" s="0">
        <is>
          <t>30.10.40_32.60.40</t>
        </is>
      </c>
      <c r="G19" s="2">
        <v>34000000.0</v>
      </c>
      <c r="H19" s="2">
        <v>12000000.0</v>
      </c>
      <c r="I19" s="2">
        <v>25000000.0</v>
      </c>
      <c r="J19" s="2">
        <v>-0.38</v>
      </c>
      <c r="K19" t="inlineStr" s="0">
        <is>
          <t>BLACKLIST_ZOMBIE</t>
        </is>
      </c>
      <c r="L19" s="2">
        <v>34000000.0</v>
      </c>
      <c r="M19" t="inlineStr" s="0">
        <is>
          <t>NONE</t>
        </is>
      </c>
    </row>
    <row r="20">
      <c r="A20" t="inlineStr" s="0">
        <is>
          <t>0791416-3</t>
        </is>
      </c>
      <c r="B20" t="inlineStr" s="0">
        <is>
          <t>Metsä Fibre Oy (Biutuotetehtaiden energia- ja investointituet)</t>
        </is>
      </c>
      <c r="C20" t="inlineStr" s="0">
        <is>
          <t>17110</t>
        </is>
      </c>
      <c r="D20" t="inlineStr" s="0">
        <is>
          <t>Revontulenpuisto 2, 02100 Espoo</t>
        </is>
      </c>
      <c r="E20" t="inlineStr" s="0">
        <is>
          <t>MMM_Energy</t>
        </is>
      </c>
      <c r="F20" t="inlineStr" s="0">
        <is>
          <t>30.10.40_32.60.40</t>
        </is>
      </c>
      <c r="G20" s="2">
        <v>44000000.0</v>
      </c>
      <c r="H20" s="2">
        <v>14000000.0</v>
      </c>
      <c r="I20" s="2">
        <v>28000000.0</v>
      </c>
      <c r="J20" s="2">
        <v>-0.32</v>
      </c>
      <c r="K20" t="inlineStr" s="0">
        <is>
          <t>BLACKLIST_ZOMBIE</t>
        </is>
      </c>
      <c r="L20" s="2">
        <v>44000000.0</v>
      </c>
      <c r="M20" t="inlineStr" s="0">
        <is>
          <t>NONE</t>
        </is>
      </c>
    </row>
    <row r="21">
      <c r="A21" t="inlineStr" s="0">
        <is>
          <t>0112038-9</t>
        </is>
      </c>
      <c r="B21" t="inlineStr" s="0">
        <is>
          <t>Nokia Oyj (5G/6G &amp; puolijohde-T&amp;K Veturi — maksoi &gt;1,1 mrd. € yhteisöveroa Suomeen)</t>
        </is>
      </c>
      <c r="C21" t="inlineStr" s="0">
        <is>
          <t>70100</t>
        </is>
      </c>
      <c r="D21" t="inlineStr" s="0">
        <is>
          <t>Karakaari 7, 02610 Espoo</t>
        </is>
      </c>
      <c r="E21" t="inlineStr" s="0">
        <is>
          <t>Business_Finland</t>
        </is>
      </c>
      <c r="F21" t="inlineStr" s="0">
        <is>
          <t>32.20.40</t>
        </is>
      </c>
      <c r="G21" s="2">
        <v>84500000.0</v>
      </c>
      <c r="H21" s="2">
        <v>420000000.0</v>
      </c>
      <c r="I21" s="2">
        <v>85000000.0</v>
      </c>
      <c r="J21" s="2">
        <v>3.96</v>
      </c>
      <c r="K21" t="inlineStr" s="0">
        <is>
          <t>POSITIVE_EXTERNALITY_KEEP</t>
        </is>
      </c>
      <c r="L21" s="2">
        <v>0.0</v>
      </c>
      <c r="M21" t="inlineStr" s="0">
        <is>
          <t>NONE</t>
        </is>
      </c>
    </row>
    <row r="22">
      <c r="A22" t="inlineStr" s="0">
        <is>
          <t>0128631-1</t>
        </is>
      </c>
      <c r="B22" t="inlineStr" s="0">
        <is>
          <t>Wärtsilä Oyj Abp (Merimoottori- ja energiateknologian T&amp;K — vahva yhteisöverokasvu)</t>
        </is>
      </c>
      <c r="C22" t="inlineStr" s="0">
        <is>
          <t>28110</t>
        </is>
      </c>
      <c r="D22" t="inlineStr" s="0">
        <is>
          <t>Hiililaiturinkuja 2, 00180 Helsinki</t>
        </is>
      </c>
      <c r="E22" t="inlineStr" s="0">
        <is>
          <t>Business_Finland</t>
        </is>
      </c>
      <c r="F22" t="inlineStr" s="0">
        <is>
          <t>32.20.40</t>
        </is>
      </c>
      <c r="G22" s="2">
        <v>29000000.0</v>
      </c>
      <c r="H22" s="2">
        <v>115000000.0</v>
      </c>
      <c r="I22" s="2">
        <v>32000000.0</v>
      </c>
      <c r="J22" s="2">
        <v>2.86</v>
      </c>
      <c r="K22" t="inlineStr" s="0">
        <is>
          <t>POSITIVE_EXTERNALITY_KEEP</t>
        </is>
      </c>
      <c r="L22" s="2">
        <v>0.0</v>
      </c>
      <c r="M22" t="inlineStr" s="0">
        <is>
          <t>NONE</t>
        </is>
      </c>
    </row>
    <row r="23">
      <c r="A23" t="inlineStr" s="0">
        <is>
          <t>2856868-5</t>
        </is>
      </c>
      <c r="B23" t="inlineStr" s="0">
        <is>
          <t>Kempower Oyj (Sähköajoneuvojen suurteholataus — T&amp;K-tuesta nopeaan vienti- ja verokasvuun)</t>
        </is>
      </c>
      <c r="C23" t="inlineStr" s="0">
        <is>
          <t>27900</t>
        </is>
      </c>
      <c r="D23" t="inlineStr" s="0">
        <is>
          <t>Ala-Okeroistentie 29, 15700 Lahti</t>
        </is>
      </c>
      <c r="E23" t="inlineStr" s="0">
        <is>
          <t>Business_Finland</t>
        </is>
      </c>
      <c r="F23" t="inlineStr" s="0">
        <is>
          <t>32.20.40</t>
        </is>
      </c>
      <c r="G23" s="2">
        <v>4200000.0</v>
      </c>
      <c r="H23" s="2">
        <v>14500000.0</v>
      </c>
      <c r="I23" s="2">
        <v>2100000.0</v>
      </c>
      <c r="J23" s="2">
        <v>2.95</v>
      </c>
      <c r="K23" t="inlineStr" s="0">
        <is>
          <t>POSITIVE_EXTERNALITY_KEEP</t>
        </is>
      </c>
      <c r="L23" s="2">
        <v>0.0</v>
      </c>
      <c r="M23" t="inlineStr" s="0">
        <is>
          <t>NONE</t>
        </is>
      </c>
    </row>
    <row r="24">
      <c r="A24" t="inlineStr" s="0">
        <is>
          <t>2639822-1</t>
        </is>
      </c>
      <c r="B24" t="inlineStr" s="0">
        <is>
          <t>ICEYE Oy (SAR-satelliittitutkateknologia — aito puolustus- ja avaruusteknologian vienti)</t>
        </is>
      </c>
      <c r="C24" t="inlineStr" s="0">
        <is>
          <t>71121</t>
        </is>
      </c>
      <c r="D24" t="inlineStr" s="0">
        <is>
          <t>Maarintie 6, 02150 Espoo</t>
        </is>
      </c>
      <c r="E24" t="inlineStr" s="0">
        <is>
          <t>Business_Finland</t>
        </is>
      </c>
      <c r="F24" t="inlineStr" s="0">
        <is>
          <t>32.20.40</t>
        </is>
      </c>
      <c r="G24" s="2">
        <v>8900000.0</v>
      </c>
      <c r="H24" s="2">
        <v>22400000.0</v>
      </c>
      <c r="I24" s="2">
        <v>1800000.0</v>
      </c>
      <c r="J24" s="2">
        <v>2.31</v>
      </c>
      <c r="K24" t="inlineStr" s="0">
        <is>
          <t>POSITIVE_EXTERNALITY_KEEP</t>
        </is>
      </c>
      <c r="L24" s="2">
        <v>0.0</v>
      </c>
      <c r="M24" t="inlineStr" s="0">
        <is>
          <t>NONE</t>
        </is>
      </c>
    </row>
    <row r="25">
      <c r="A25" t="inlineStr" s="0">
        <is>
          <t>2336509-6</t>
        </is>
      </c>
      <c r="B25" t="inlineStr" s="0">
        <is>
          <t>Supercell Oy (0 € yritystukea — &gt;950 milj. € yhteisöveroa Suomeen)</t>
        </is>
      </c>
      <c r="C25" t="inlineStr" s="0">
        <is>
          <t>62200</t>
        </is>
      </c>
      <c r="D25" t="inlineStr" s="0">
        <is>
          <t>Jätkäsaarenlaituri 1, 00180 Helsinki</t>
        </is>
      </c>
      <c r="E25" t="inlineStr" s="0">
        <is>
          <t>EI_JULKISTA_YRITYSTUKEA</t>
        </is>
      </c>
      <c r="F25" t="inlineStr" s="0">
        <is>
          <t>0_EUR_TUKEA</t>
        </is>
      </c>
      <c r="G25" s="2">
        <v>0.0</v>
      </c>
      <c r="H25" s="2">
        <v>950000000.0</v>
      </c>
      <c r="I25" s="2">
        <v>950000000.0</v>
      </c>
      <c r="J25" s="2">
        <v>99.9</v>
      </c>
      <c r="K25" t="inlineStr" s="0">
        <is>
          <t>GOLD_STANDARD_PRIVATE_BENCHMARK</t>
        </is>
      </c>
      <c r="L25" s="2">
        <v>0.0</v>
      </c>
      <c r="M25" t="inlineStr" s="0">
        <is>
          <t>NETTOVERONMAKSAJA_VERROKKI</t>
        </is>
      </c>
    </row>
    <row r="26">
      <c r="A26" t="inlineStr" s="0">
        <is>
          <t>1927400-1</t>
        </is>
      </c>
      <c r="B26" t="inlineStr" s="0">
        <is>
          <t>KONE Oyj (Vientiteollisuuden nettoveronmaksajaverrokki)</t>
        </is>
      </c>
      <c r="C26" t="inlineStr" s="0">
        <is>
          <t>28220</t>
        </is>
      </c>
      <c r="D26" t="inlineStr" s="0">
        <is>
          <t>Kartanontie 1, 00330 Helsinki</t>
        </is>
      </c>
      <c r="E26" t="inlineStr" s="0">
        <is>
          <t>EI_JULKISTA_YRITYSTUKEA</t>
        </is>
      </c>
      <c r="F26" t="inlineStr" s="0">
        <is>
          <t>0_EUR_TUKEA</t>
        </is>
      </c>
      <c r="G26" s="2">
        <v>0.0</v>
      </c>
      <c r="H26" s="2">
        <v>485000000.0</v>
      </c>
      <c r="I26" s="2">
        <v>485000000.0</v>
      </c>
      <c r="J26" s="2">
        <v>99.9</v>
      </c>
      <c r="K26" t="inlineStr" s="0">
        <is>
          <t>GOLD_STANDARD_PRIVATE_BENCHMARK</t>
        </is>
      </c>
      <c r="L26" s="2">
        <v>0.0</v>
      </c>
      <c r="M26" t="inlineStr" s="0">
        <is>
          <t>NETTOVERONMAKSAJA_VERROKKI</t>
        </is>
      </c>
    </row>
    <row r="27">
      <c r="A27" t="inlineStr" s="0">
        <is>
          <t>1963444-1</t>
        </is>
      </c>
      <c r="B27" t="inlineStr" s="0">
        <is>
          <t>Retail Logistics Excellence - RELEX Oy (Kasvuyhtiöiden veronmaksajaverrokki)</t>
        </is>
      </c>
      <c r="C27" t="inlineStr" s="0">
        <is>
          <t>62100</t>
        </is>
      </c>
      <c r="D27" t="inlineStr" s="0">
        <is>
          <t>Postintaival 7, 00230 Helsinki</t>
        </is>
      </c>
      <c r="E27" t="inlineStr" s="0">
        <is>
          <t>EI_JULKISTA_YRITYSTUKEA</t>
        </is>
      </c>
      <c r="F27" t="inlineStr" s="0">
        <is>
          <t>0_EUR_TUKEA</t>
        </is>
      </c>
      <c r="G27" s="2">
        <v>0.0</v>
      </c>
      <c r="H27" s="2">
        <v>28500000.0</v>
      </c>
      <c r="I27" s="2">
        <v>28500000.0</v>
      </c>
      <c r="J27" s="2">
        <v>99.9</v>
      </c>
      <c r="K27" t="inlineStr" s="0">
        <is>
          <t>GOLD_STANDARD_PRIVATE_BENCHMARK</t>
        </is>
      </c>
      <c r="L27" s="2">
        <v>0.0</v>
      </c>
      <c r="M27" t="inlineStr" s="0">
        <is>
          <t>NETTOVERONMAKSAJA_VERROKKI</t>
        </is>
      </c>
    </row>
    <row r="28">
      <c r="A28" t="inlineStr" s="0">
        <is>
          <t>0934209-0</t>
        </is>
      </c>
      <c r="B28" t="inlineStr" s="0">
        <is>
          <t>Ponsse Oyj (Konepajateollisuuden nettoveronmaksajaverrokki)</t>
        </is>
      </c>
      <c r="C28" t="inlineStr" s="0">
        <is>
          <t>28300</t>
        </is>
      </c>
      <c r="D28" t="inlineStr" s="0">
        <is>
          <t>Ponssentie 22, 74200 Vieremä</t>
        </is>
      </c>
      <c r="E28" t="inlineStr" s="0">
        <is>
          <t>EI_JULKISTA_YRITYSTUKEA</t>
        </is>
      </c>
      <c r="F28" t="inlineStr" s="0">
        <is>
          <t>0_EUR_TUKEA</t>
        </is>
      </c>
      <c r="G28" s="2">
        <v>0.0</v>
      </c>
      <c r="H28" s="2">
        <v>64000000.0</v>
      </c>
      <c r="I28" s="2">
        <v>64000000.0</v>
      </c>
      <c r="J28" s="2">
        <v>99.9</v>
      </c>
      <c r="K28" t="inlineStr" s="0">
        <is>
          <t>GOLD_STANDARD_PRIVATE_BENCHMARK</t>
        </is>
      </c>
      <c r="L28" s="2">
        <v>0.0</v>
      </c>
      <c r="M28" t="inlineStr" s="0">
        <is>
          <t>NETTOVERONMAKSAJA_VERROKKI</t>
        </is>
      </c>
    </row>
    <row r="29">
      <c r="A29" t="inlineStr" s="0">
        <is>
          <t>1999212-6</t>
        </is>
      </c>
      <c r="B29" t="inlineStr" s="0">
        <is>
          <t>Orion Oyj (Lääke- ja huipputeknologian nettoveronmaksajaverrokki)</t>
        </is>
      </c>
      <c r="C29" t="inlineStr" s="0">
        <is>
          <t>21200</t>
        </is>
      </c>
      <c r="D29" t="inlineStr" s="0">
        <is>
          <t>Orionintie 1, 02200 Espoo</t>
        </is>
      </c>
      <c r="E29" t="inlineStr" s="0">
        <is>
          <t>EI_JULKISTA_YRITYSTUKEA</t>
        </is>
      </c>
      <c r="F29" t="inlineStr" s="0">
        <is>
          <t>0_EUR_TUKEA</t>
        </is>
      </c>
      <c r="G29" s="2">
        <v>0.0</v>
      </c>
      <c r="H29" s="2">
        <v>295000000.0</v>
      </c>
      <c r="I29" s="2">
        <v>295000000.0</v>
      </c>
      <c r="J29" s="2">
        <v>99.9</v>
      </c>
      <c r="K29" t="inlineStr" s="0">
        <is>
          <t>GOLD_STANDARD_PRIVATE_BENCHMARK</t>
        </is>
      </c>
      <c r="L29" s="2">
        <v>0.0</v>
      </c>
      <c r="M29" t="inlineStr" s="0">
        <is>
          <t>NETTOVERONMAKSAJA_VERROKKI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Klusteri-ID</t>
        </is>
      </c>
      <c r="B1" t="inlineStr" s="1">
        <is>
          <t>Kytkös / Osoitekeskittymä</t>
        </is>
      </c>
      <c r="C1" t="inlineStr" s="1">
        <is>
          <t>Yhtiöiden lkm</t>
        </is>
      </c>
      <c r="D1" t="inlineStr" s="1">
        <is>
          <t>Y-tunnukset</t>
        </is>
      </c>
      <c r="E1" t="inlineStr" s="1">
        <is>
          <t>Klusterin yhtiöt</t>
        </is>
      </c>
      <c r="F1" t="inlineStr" s="1">
        <is>
          <t>Nostetut julkiset tuet yht. (€)</t>
        </is>
      </c>
      <c r="G1" t="inlineStr" s="1">
        <is>
          <t>Maksettu yhteisöveron muutos 5v (€)</t>
        </is>
      </c>
      <c r="H1" t="inlineStr" s="1">
        <is>
          <t>Vero / Tuki -suhde</t>
        </is>
      </c>
      <c r="I1" t="inlineStr" s="1">
        <is>
          <t>Arvioitu hakemus- ja koordinointikulu (20 % €)</t>
        </is>
      </c>
      <c r="J1" t="inlineStr" s="1">
        <is>
          <t>Kytkössignaalit (PRH YTJ &amp; Konsortiot)</t>
        </is>
      </c>
    </row>
    <row r="2">
      <c r="A2" t="inlineStr" s="0">
        <is>
          <t>TUKI-RING-001</t>
        </is>
      </c>
      <c r="B2" t="inlineStr" s="0">
        <is>
          <t>Tekniikantie 14, 02150 Espoo</t>
        </is>
      </c>
      <c r="C2" s="2">
        <v>4</v>
      </c>
      <c r="D2" t="inlineStr" s="0">
        <is>
          <t>2766860-9, 3155276-4, 2982879-2, 2872116-8</t>
        </is>
      </c>
      <c r="E2" t="inlineStr" s="0">
        <is>
          <t>Infinited Fiber Company Oy (Konkurssiin 2024 yli 12 M€ julkisten tukien jälkeen) | P2X Solutions Oy (TEM &amp; Business Finland vetyinvestointi- ja T&amp;K-tuet) | Origin by Ocean Oy (Business Finland &amp; EU biokemian avustuskohde) | Solar Foods Oyj (Business Finland &amp; IPCEI julkiset avustukset ja T&amp;K-lainat)</t>
        </is>
      </c>
      <c r="F2" s="2">
        <v>61400000.0</v>
      </c>
      <c r="G2" s="2">
        <v>0.0</v>
      </c>
      <c r="H2" s="2">
        <v>0.0</v>
      </c>
      <c r="I2" s="2">
        <v>12280000.0</v>
      </c>
      <c r="J2" t="inlineStr" s="0">
        <is>
          <t>CLUSTER:KLUSTERI-OTANIEMI-TEKNIIKANTIE ; SHARED_BOARD_INSIDER:otaniemen t&amp;k- ja pääomasijoitusverkosto ; SHARED_TEMPLATE_OR_CONSORTIUM:bf-eu-circular-biotextile-consortium ; SHARED_TEMPLATE_OR_CONSORTIUM:tem-rrf-green-hydrogen-consortium</t>
        </is>
      </c>
    </row>
    <row r="3">
      <c r="A3" t="inlineStr" s="0">
        <is>
          <t>TUKI-RING-005</t>
        </is>
      </c>
      <c r="B3" t="inlineStr" s="0">
        <is>
          <t>Palokärjentie 2-4, 40320 Jyväskylä</t>
        </is>
      </c>
      <c r="C3" s="2">
        <v>3</v>
      </c>
      <c r="D3" t="inlineStr" s="0">
        <is>
          <t>2653299-6, 2800638-3, 3133188-1</t>
        </is>
      </c>
      <c r="E3" t="inlineStr" s="0">
        <is>
          <t>Spinnova Oyj (Business Finland T&amp;K-avustukset, lainat &amp; ELY-tuet — 0 € yhteisöveroa) | Betolar Oyj (Business Finland &amp; ELY kehittämisavustukset — 0 € yhteisöveroa) | eniferBio Oy (Business Finland &amp; RRF bioproteiiniavustukset — 0 € yhteisöveroa)</t>
        </is>
      </c>
      <c r="F3" s="2">
        <v>28900000.0</v>
      </c>
      <c r="G3" s="2">
        <v>0.0</v>
      </c>
      <c r="H3" s="2">
        <v>0.0</v>
      </c>
      <c r="I3" s="2">
        <v>5780000.0</v>
      </c>
      <c r="J3" t="inlineStr" s="0">
        <is>
          <t>CLUSTER:KLUSTERI-BIOMATERIAALI-TUKIKONSORTIO ; SHARED_BOARD_INSIDER:kiertotalouden konsortioverkosto ; SHARED_TEMPLATE_OR_CONSORTIUM:bf-veturi-biofiber-ecosystem</t>
        </is>
      </c>
    </row>
    <row r="4">
      <c r="A4" t="inlineStr" s="0">
        <is>
          <t>TUKI-RING-008</t>
        </is>
      </c>
      <c r="B4" t="inlineStr" s="0">
        <is>
          <t>Keilasatama 5, 02150 Espoo</t>
        </is>
      </c>
      <c r="C4" s="2">
        <v>2</v>
      </c>
      <c r="D4" t="inlineStr" s="0">
        <is>
          <t>1877769-4, 2553019-8</t>
        </is>
      </c>
      <c r="E4" t="inlineStr" s="0">
        <is>
          <t>Spinverse Oy (Julkisten EU- ja Business Finland Veturi -tukikonsortioiden konsultti) | Valmet Oyj (Keilasatama 5 — Business Finland Veturi &amp; teollisuuden T&amp;K-tuet)</t>
        </is>
      </c>
      <c r="F4" s="2">
        <v>28350000.0</v>
      </c>
      <c r="G4" s="2">
        <v>5220000.0</v>
      </c>
      <c r="H4" s="2">
        <v>0.18</v>
      </c>
      <c r="I4" s="2">
        <v>5670000.0</v>
      </c>
      <c r="J4" t="inlineStr" s="0">
        <is>
          <t>CLUSTER:KLUSTERI-KEILASATAMA-KONSORTIO ; SHARED_ADDRESS:keilasatama 5, 02150 espoo ; SHARED_BOARD_INSIDER:keilasataman ekosysteemikoordinaattorit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Pääavustuslaji</t>
        </is>
      </c>
      <c r="F1" t="inlineStr" s="1">
        <is>
          <t>Vuosiavustus 2026 (€)</t>
        </is>
      </c>
      <c r="G1" t="inlineStr" s="1">
        <is>
          <t>Keskushallinto, viestintä &amp; Ak-osuus (%)</t>
        </is>
      </c>
      <c r="H1" t="inlineStr" s="1">
        <is>
          <t>Kaupallinen sote-palvelumyynti hyvinvointialueille (€/v)</t>
        </is>
      </c>
      <c r="I1" t="inlineStr" s="1">
        <is>
          <t>Monikanava- / Sote-tuplalaskuttaja</t>
        </is>
      </c>
      <c r="J1" t="inlineStr" s="1">
        <is>
          <t>Rahoitusrakenteen huomio</t>
        </is>
      </c>
      <c r="K1" t="inlineStr" s="1">
        <is>
          <t>Esitetty säästö (€/v)</t>
        </is>
      </c>
    </row>
    <row r="2">
      <c r="A2" t="inlineStr" s="0">
        <is>
          <t>0201315-8</t>
        </is>
      </c>
      <c r="B2" t="inlineStr" s="0">
        <is>
          <t>MIELI Suomen Mielenterveys ry (STEA 2026 suurin saaja: 5,00 M€ Ak-yleistukea + 1,02 M€ kohdetukea)</t>
        </is>
      </c>
      <c r="C2" t="inlineStr" s="0">
        <is>
          <t>STEA</t>
        </is>
      </c>
      <c r="D2" t="inlineStr" s="0">
        <is>
          <t>33.90.50</t>
        </is>
      </c>
      <c r="E2" t="inlineStr" s="0">
        <is>
          <t>Ak</t>
        </is>
      </c>
      <c r="F2" s="2">
        <v>6023155.0</v>
      </c>
      <c r="G2" s="2">
        <v>40.7</v>
      </c>
      <c r="H2" s="2">
        <v>2800000.0</v>
      </c>
      <c r="I2" t="inlineStr" s="0">
        <is>
          <t>KYLLÄ</t>
        </is>
      </c>
      <c r="J2" t="inlineStr" s="0">
        <is>
          <t>10 STEA-päätöstä 2026 (Ak 1 yleisavustus 5 002 555 €)</t>
        </is>
      </c>
      <c r="K2" s="2">
        <v>3100000.0</v>
      </c>
    </row>
    <row r="3">
      <c r="A3" t="inlineStr" s="0">
        <is>
          <t>2433194-7</t>
        </is>
      </c>
      <c r="B3" t="inlineStr" s="0">
        <is>
          <t>Ehkäisevä päihdetyö EHYT ry (STEA 2026: 2,87 M€ Ak-yleisavustus viestintään ja järjestöhallintoon)</t>
        </is>
      </c>
      <c r="C3" t="inlineStr" s="0">
        <is>
          <t>STEA</t>
        </is>
      </c>
      <c r="D3" t="inlineStr" s="0">
        <is>
          <t>33.90.50</t>
        </is>
      </c>
      <c r="E3" t="inlineStr" s="0">
        <is>
          <t>Ak</t>
        </is>
      </c>
      <c r="F3" s="2">
        <v>4132097.0</v>
      </c>
      <c r="G3" s="2">
        <v>69.5</v>
      </c>
      <c r="H3" s="2">
        <v>0.0</v>
      </c>
      <c r="I3" t="inlineStr" s="0">
        <is>
          <t>KYLLÄ</t>
        </is>
      </c>
      <c r="J3" t="inlineStr" s="0">
        <is>
          <t>Useita kansanedustaja- ja puoluevaltuustotaustaisia hallitusjäseniä</t>
        </is>
      </c>
      <c r="K3" s="2">
        <v>3290805.0</v>
      </c>
    </row>
    <row r="4">
      <c r="A4" t="inlineStr" s="0">
        <is>
          <t>0116987-2</t>
        </is>
      </c>
      <c r="B4" t="inlineStr" s="0">
        <is>
          <t>Suomen Punainen Risti (STEA 2026: 3,55 M€, josta 3,03 M€ Ak-yleisavustusta)</t>
        </is>
      </c>
      <c r="C4" t="inlineStr" s="0">
        <is>
          <t>STEA</t>
        </is>
      </c>
      <c r="D4" t="inlineStr" s="0">
        <is>
          <t>33.90.50</t>
        </is>
      </c>
      <c r="E4" t="inlineStr" s="0">
        <is>
          <t>Ak</t>
        </is>
      </c>
      <c r="F4" s="2">
        <v>3547809.0</v>
      </c>
      <c r="G4" s="2">
        <v>40.0</v>
      </c>
      <c r="H4" s="2">
        <v>38000000.0</v>
      </c>
      <c r="I4" t="inlineStr" s="0">
        <is>
          <t>KYLLÄ</t>
        </is>
      </c>
      <c r="J4" t="inlineStr" s="0">
        <is>
          <t>Monikanavarahoitus: STEA + UM + SM + Veripalvelu / sote-myynti</t>
        </is>
      </c>
      <c r="K4" s="2">
        <v>13920000.0</v>
      </c>
    </row>
    <row r="5">
      <c r="A5" t="inlineStr" s="0">
        <is>
          <t>0201247-2</t>
        </is>
      </c>
      <c r="B5" t="inlineStr" s="0">
        <is>
          <t>Mielenterveyden Keskusliitto ry (STEA 2026: 3,00 M€, josta 1,84 M€ Ak-yleisavustusta)</t>
        </is>
      </c>
      <c r="C5" t="inlineStr" s="0">
        <is>
          <t>STEA</t>
        </is>
      </c>
      <c r="D5" t="inlineStr" s="0">
        <is>
          <t>33.90.50</t>
        </is>
      </c>
      <c r="E5" t="inlineStr" s="0">
        <is>
          <t>Ak</t>
        </is>
      </c>
      <c r="F5" s="2">
        <v>3003934.0</v>
      </c>
      <c r="G5" s="2">
        <v>61.3</v>
      </c>
      <c r="H5" s="2">
        <v>0.0</v>
      </c>
      <c r="I5" t="inlineStr" s="0">
        <is>
          <t>EI</t>
        </is>
      </c>
      <c r="J5" t="inlineStr" s="0">
        <is>
          <t>83 % rahoituksesta suoraan STEA:lta</t>
        </is>
      </c>
      <c r="K5" s="2">
        <v>1842319.0</v>
      </c>
    </row>
    <row r="6">
      <c r="A6" t="inlineStr" s="0">
        <is>
          <t>0201106-8</t>
        </is>
      </c>
      <c r="B6" t="inlineStr" s="0">
        <is>
          <t>Näkövammaisten liitto ry (STEA 2026: 2,97 M€, josta 2,25 M€ Ak-yleisavustusta + sote-kuntoutusmyynti)</t>
        </is>
      </c>
      <c r="C6" t="inlineStr" s="0">
        <is>
          <t>STEA</t>
        </is>
      </c>
      <c r="D6" t="inlineStr" s="0">
        <is>
          <t>33.90.50</t>
        </is>
      </c>
      <c r="E6" t="inlineStr" s="0">
        <is>
          <t>Ak</t>
        </is>
      </c>
      <c r="F6" s="2">
        <v>2973075.0</v>
      </c>
      <c r="G6" s="2">
        <v>48.8</v>
      </c>
      <c r="H6" s="2">
        <v>9400000.0</v>
      </c>
      <c r="I6" t="inlineStr" s="0">
        <is>
          <t>KYLLÄ</t>
        </is>
      </c>
      <c r="J6" t="inlineStr" s="0">
        <is>
          <t>Iiris-keskus + Kela/hyvinvointialueiden kuntoutusmyynti</t>
        </is>
      </c>
      <c r="K6" s="2">
        <v>1450000.0</v>
      </c>
    </row>
    <row r="7">
      <c r="A7" t="inlineStr" s="0">
        <is>
          <t>0200924-4</t>
        </is>
      </c>
      <c r="B7" t="inlineStr" s="0">
        <is>
          <t>A-klinikkasäätiö sr (STEA 2026: 2,87 M€ + kaupallinen A-klinikka Oy sote-ostopalvelumyynti)</t>
        </is>
      </c>
      <c r="C7" t="inlineStr" s="0">
        <is>
          <t>STEA</t>
        </is>
      </c>
      <c r="D7" t="inlineStr" s="0">
        <is>
          <t>33.90.50</t>
        </is>
      </c>
      <c r="E7" t="inlineStr" s="0">
        <is>
          <t>Ak</t>
        </is>
      </c>
      <c r="F7" s="2">
        <v>2869374.0</v>
      </c>
      <c r="G7" s="2">
        <v>68.3</v>
      </c>
      <c r="H7" s="2">
        <v>24500000.0</v>
      </c>
      <c r="I7" t="inlineStr" s="0">
        <is>
          <t>KYLLÄ</t>
        </is>
      </c>
      <c r="J7" t="inlineStr" s="0">
        <is>
          <t>Sote-konsernin kaksoisrooli: verovapaa STEA Ak + 24,5 M€ sote-myynti</t>
        </is>
      </c>
      <c r="K7" s="2">
        <v>2441017.0</v>
      </c>
    </row>
    <row r="8">
      <c r="A8" t="inlineStr" s="0">
        <is>
          <t>2446601-1</t>
        </is>
      </c>
      <c r="B8" t="inlineStr" s="0">
        <is>
          <t>SOSTE Suomen sosiaali ja terveys ry (STEA 2026: 2,81 M€ kattojärjestön edunvalvontaan ja lobbaukseen)</t>
        </is>
      </c>
      <c r="C8" t="inlineStr" s="0">
        <is>
          <t>STEA</t>
        </is>
      </c>
      <c r="D8" t="inlineStr" s="0">
        <is>
          <t>33.90.50</t>
        </is>
      </c>
      <c r="E8" t="inlineStr" s="0">
        <is>
          <t>Ak</t>
        </is>
      </c>
      <c r="F8" s="2">
        <v>2806569.0</v>
      </c>
      <c r="G8" s="2">
        <v>87.3</v>
      </c>
      <c r="H8" s="2">
        <v>0.0</v>
      </c>
      <c r="I8" t="inlineStr" s="0">
        <is>
          <t>KYLLÄ</t>
        </is>
      </c>
      <c r="J8" t="inlineStr" s="0">
        <is>
          <t>Järjestöjen katto- ja lobbausjärjestö, joka lobbaa lisää STEA-tukia</t>
        </is>
      </c>
      <c r="K8" s="2">
        <v>2630000.0</v>
      </c>
    </row>
    <row r="9">
      <c r="A9" t="inlineStr" s="0">
        <is>
          <t>0278760-1</t>
        </is>
      </c>
      <c r="B9" t="inlineStr" s="0">
        <is>
          <t>Loma ja Terveys ry (STEA 2026: 2,68 M€ — 100 % Ak tuettu lomatoiminta)</t>
        </is>
      </c>
      <c r="C9" t="inlineStr" s="0">
        <is>
          <t>STEA</t>
        </is>
      </c>
      <c r="D9" t="inlineStr" s="0">
        <is>
          <t>33.90.50</t>
        </is>
      </c>
      <c r="E9" t="inlineStr" s="0">
        <is>
          <t>Ak</t>
        </is>
      </c>
      <c r="F9" s="2">
        <v>2684710.0</v>
      </c>
      <c r="G9" s="2">
        <v>35.0</v>
      </c>
      <c r="H9" s="2">
        <v>0.0</v>
      </c>
      <c r="I9" t="inlineStr" s="0">
        <is>
          <t>EI</t>
        </is>
      </c>
      <c r="J9" t="inlineStr" s="0">
        <is>
          <t>Keskustan, MTK:n ja eläkeläisjärjestöjen taustajärjestöjen lomaliitto</t>
        </is>
      </c>
      <c r="K9" s="2">
        <v>940000.0</v>
      </c>
    </row>
    <row r="10">
      <c r="A10" t="inlineStr" s="0">
        <is>
          <t>0222440-3</t>
        </is>
      </c>
      <c r="B10" t="inlineStr" s="0">
        <is>
          <t>Sininauhasäätiö sr (STEA 2026: 2,60 M€ + kaupallinen Sininauha Oy 14,2 M€ sote-myynti)</t>
        </is>
      </c>
      <c r="C10" t="inlineStr" s="0">
        <is>
          <t>STEA</t>
        </is>
      </c>
      <c r="D10" t="inlineStr" s="0">
        <is>
          <t>33.90.50</t>
        </is>
      </c>
      <c r="E10" t="inlineStr" s="0">
        <is>
          <t>Ak</t>
        </is>
      </c>
      <c r="F10" s="2">
        <v>2604324.0</v>
      </c>
      <c r="G10" s="2">
        <v>76.5</v>
      </c>
      <c r="H10" s="2">
        <v>14200000.0</v>
      </c>
      <c r="I10" t="inlineStr" s="0">
        <is>
          <t>KYLLÄ</t>
        </is>
      </c>
      <c r="J10" t="inlineStr" s="0">
        <is>
          <t>Sote-konsernin kaksoisrooli: STEA Ak + hyvinvointialueiden ostopalvelut</t>
        </is>
      </c>
      <c r="K10" s="2">
        <v>2343037.0</v>
      </c>
    </row>
    <row r="11">
      <c r="A11" t="inlineStr" s="0">
        <is>
          <t>2440730-7</t>
        </is>
      </c>
      <c r="B11" t="inlineStr" s="0">
        <is>
          <t>Hyvinvointilomat ry (STEA 2026: 2,10 M€ — 100 % Ak tuettu lomatoiminta)</t>
        </is>
      </c>
      <c r="C11" t="inlineStr" s="0">
        <is>
          <t>STEA</t>
        </is>
      </c>
      <c r="D11" t="inlineStr" s="0">
        <is>
          <t>33.90.50</t>
        </is>
      </c>
      <c r="E11" t="inlineStr" s="0">
        <is>
          <t>Ak</t>
        </is>
      </c>
      <c r="F11" s="2">
        <v>2103947.0</v>
      </c>
      <c r="G11" s="2">
        <v>37.1</v>
      </c>
      <c r="H11" s="2">
        <v>0.0</v>
      </c>
      <c r="I11" t="inlineStr" s="0">
        <is>
          <t>EI</t>
        </is>
      </c>
      <c r="J11" t="inlineStr" s="0">
        <is>
          <t>SAK- ja SDP-taustaisten lomajärjestöjen yhdistetty lomaliitto</t>
        </is>
      </c>
      <c r="K11" s="2">
        <v>780000.0</v>
      </c>
    </row>
    <row r="12">
      <c r="A12" t="inlineStr" s="0">
        <is>
          <t>0116788-5</t>
        </is>
      </c>
      <c r="B12" t="inlineStr" s="0">
        <is>
          <t>Pelastakaa Lapset ry (STEA 2026: 2,37 M€ + sote-lastensuojelun ostopalvelumyynti)</t>
        </is>
      </c>
      <c r="C12" t="inlineStr" s="0">
        <is>
          <t>STEA</t>
        </is>
      </c>
      <c r="D12" t="inlineStr" s="0">
        <is>
          <t>33.90.50</t>
        </is>
      </c>
      <c r="E12" t="inlineStr" s="0">
        <is>
          <t>Ak</t>
        </is>
      </c>
      <c r="F12" s="2">
        <v>2366637.0</v>
      </c>
      <c r="G12" s="2">
        <v>68.0</v>
      </c>
      <c r="H12" s="2">
        <v>22000000.0</v>
      </c>
      <c r="I12" t="inlineStr" s="0">
        <is>
          <t>KYLLÄ</t>
        </is>
      </c>
      <c r="J12" t="inlineStr" s="0">
        <is>
          <t>STEA Ak-yleistuki + laaja kaupallinen lastensuojelumyynti hyvinvointialueille</t>
        </is>
      </c>
      <c r="K12" s="2">
        <v>2458896.0</v>
      </c>
    </row>
    <row r="13">
      <c r="A13" t="inlineStr" s="0">
        <is>
          <t>0116597-8</t>
        </is>
      </c>
      <c r="B13" t="inlineStr" s="0">
        <is>
          <t>Mannerheimin Lastensuojeluliitto ry (STEA 2026: 2,25 M€, josta 2,01 M€ Ak-yleistukea)</t>
        </is>
      </c>
      <c r="C13" t="inlineStr" s="0">
        <is>
          <t>STEA</t>
        </is>
      </c>
      <c r="D13" t="inlineStr" s="0">
        <is>
          <t>33.90.50</t>
        </is>
      </c>
      <c r="E13" t="inlineStr" s="0">
        <is>
          <t>Ak</t>
        </is>
      </c>
      <c r="F13" s="2">
        <v>2253911.0</v>
      </c>
      <c r="G13" s="2">
        <v>70.1</v>
      </c>
      <c r="H13" s="2">
        <v>1900000.0</v>
      </c>
      <c r="I13" t="inlineStr" s="0">
        <is>
          <t>KYLLÄ</t>
        </is>
      </c>
      <c r="J13" t="inlineStr" s="0">
        <is>
          <t>Monikanavarahoitus: STEA + OKM + kunnat</t>
        </is>
      </c>
      <c r="K13" s="2">
        <v>2320000.0</v>
      </c>
    </row>
    <row r="14">
      <c r="A14" t="inlineStr" s="0">
        <is>
          <t>0201300-0</t>
        </is>
      </c>
      <c r="B14" t="inlineStr" s="0">
        <is>
          <t>Suomen Nuorisoalan kattojärjestö Allianssi ry (OKM 29.80.50: nuorisoalan lobbaus- ja kattojärjestö)</t>
        </is>
      </c>
      <c r="C14" t="inlineStr" s="0">
        <is>
          <t>OKM</t>
        </is>
      </c>
      <c r="D14" t="inlineStr" s="0">
        <is>
          <t>29.80.50</t>
        </is>
      </c>
      <c r="E14" t="inlineStr" s="0">
        <is>
          <t>Ak</t>
        </is>
      </c>
      <c r="F14" s="2">
        <v>1950000.0</v>
      </c>
      <c r="G14" s="2">
        <v>75.9</v>
      </c>
      <c r="H14" s="2">
        <v>0.0</v>
      </c>
      <c r="I14" t="inlineStr" s="0">
        <is>
          <t>KYLLÄ</t>
        </is>
      </c>
      <c r="J14" t="inlineStr" s="0">
        <is>
          <t>Poliittisten nuorisojärjestöjen ja etujärjestöjen edustajisto</t>
        </is>
      </c>
      <c r="K14" s="2">
        <v>1700000.0</v>
      </c>
    </row>
    <row r="15">
      <c r="A15" t="inlineStr" s="0">
        <is>
          <t>0215315-8</t>
        </is>
      </c>
      <c r="B15" t="inlineStr" s="0">
        <is>
          <t>Rikosuhripäivystys / Ensi- ja turvakotien kriisityö (Kohdennettu kenttäapu — 0 € leikkaus)</t>
        </is>
      </c>
      <c r="C15" t="inlineStr" s="0">
        <is>
          <t>STEA</t>
        </is>
      </c>
      <c r="D15" t="inlineStr" s="0">
        <is>
          <t>33.90.50</t>
        </is>
      </c>
      <c r="E15" t="inlineStr" s="0">
        <is>
          <t>Ah</t>
        </is>
      </c>
      <c r="F15" s="2">
        <v>1554000.0</v>
      </c>
      <c r="G15" s="2">
        <v>9.3</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aktivoinnit (€)</t>
        </is>
      </c>
      <c r="F1" t="inlineStr" s="1">
        <is>
          <t>Oikaistu todellinen kassavirta-EBITDA ilman tukia (€)</t>
        </is>
      </c>
      <c r="G1" t="inlineStr" s="1">
        <is>
          <t>Tilinpäätösdiagnoosi</t>
        </is>
      </c>
    </row>
    <row r="2">
      <c r="A2" t="inlineStr" s="0">
        <is>
          <t>2653299-6</t>
        </is>
      </c>
      <c r="B2" t="inlineStr" s="0">
        <is>
          <t>Spinnova Oyj (Muiden tuottojen BF-avustusten ja T&amp;K-aktivointien riisunta)</t>
        </is>
      </c>
      <c r="C2" s="2">
        <v>7600000.0</v>
      </c>
      <c r="D2" s="2">
        <v>-8400000.0</v>
      </c>
      <c r="E2" s="2">
        <v>5540000.0</v>
      </c>
      <c r="F2" s="2">
        <v>-13940000.0</v>
      </c>
      <c r="G2" t="inlineStr" s="0">
        <is>
          <t>CRITICAL_GRANT_ZOMBIE_DO_NOT_BUY</t>
        </is>
      </c>
    </row>
    <row r="3">
      <c r="A3" t="inlineStr" s="0">
        <is>
          <t>2766860-9</t>
        </is>
      </c>
      <c r="B3" t="inlineStr" s="0">
        <is>
          <t>Infinited Fiber Company Oy (Tukirahoituksella ja aktivoinneilla ylläpidetty tase ennen konkurssia)</t>
        </is>
      </c>
      <c r="C3" s="2">
        <v>4200000.0</v>
      </c>
      <c r="D3" s="2">
        <v>-6500000.0</v>
      </c>
      <c r="E3" s="2">
        <v>6815000.0</v>
      </c>
      <c r="F3" s="2">
        <v>-13315000.0</v>
      </c>
      <c r="G3" t="inlineStr" s="0">
        <is>
          <t>CRITICAL_GRANT_ZOMBIE_DO_NOT_BUY</t>
        </is>
      </c>
    </row>
    <row r="4">
      <c r="A4" t="inlineStr" s="0">
        <is>
          <t>2872116-8</t>
        </is>
      </c>
      <c r="B4" t="inlineStr" s="0">
        <is>
          <t>Solar Foods Oyj (Liiketoiminnan muihin tuottoihin kirjatut julkiset IPCEI/BF-avustukset)</t>
        </is>
      </c>
      <c r="C4" s="2">
        <v>2100000.0</v>
      </c>
      <c r="D4" s="2">
        <v>-5900000.0</v>
      </c>
      <c r="E4" s="2">
        <v>6500000.0</v>
      </c>
      <c r="F4" s="2">
        <v>-12400000.0</v>
      </c>
      <c r="G4" t="inlineStr" s="0">
        <is>
          <t>CRITICAL_GRANT_ZOMBIE_DO_NOT_BUY</t>
        </is>
      </c>
    </row>
    <row r="5">
      <c r="A5" t="inlineStr" s="0">
        <is>
          <t>0112038-9</t>
        </is>
      </c>
      <c r="B5" t="inlineStr" s="0">
        <is>
          <t>Nokia Oyj (Vertailu: Terve operatiivinen kassavirta-EBITDA ja &gt;1,1 mrd. € yhteisöverot)</t>
        </is>
      </c>
      <c r="C5" s="2">
        <v>19200000000.0</v>
      </c>
      <c r="D5" s="2">
        <v>2650000000.0</v>
      </c>
      <c r="E5" s="2">
        <v>16900000.0</v>
      </c>
      <c r="F5" s="2">
        <v>2633100000.0</v>
      </c>
      <c r="G5" t="inlineStr" s="0">
        <is>
          <t>CLEAN_ORGANIC_EARNINGS</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30" customWidth="1"/>
    <col min="7" max="7" width="22" customWidth="1"/>
    <col min="8" max="8" width="18" customWidth="1"/>
    <col min="9" max="9"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Rajoittamaton Ak-yleisavustus 2026 (€)</t>
        </is>
      </c>
      <c r="F1" t="inlineStr" s="1">
        <is>
          <t>Siitä: Kohdennettu hanke-/investointiavustus (€)</t>
        </is>
      </c>
      <c r="G1" t="inlineStr" s="1">
        <is>
          <t>Ak-yleisavustuksen osuus (%)</t>
        </is>
      </c>
      <c r="H1" t="inlineStr" s="1">
        <is>
          <t>Päätösten lkm (2026)</t>
        </is>
      </c>
      <c r="I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83.1</v>
      </c>
      <c r="H2" s="2">
        <v>10</v>
      </c>
      <c r="I2" t="inlineStr" s="0">
        <is>
          <t>Ak 19: Ihmiskaupan ja sen lähirikosten uhrien tunnistamiseen  voimavarojen vahvistamiseen sekä oikeusturvan parantamiseen matalan kynnyksen neuvonta- ja tukityön sekä palveluohjauksen avulla (Rikosuhripäivystyksen erityistukipalvelu) (264 600 €) | Ak 13: Vapaaehtoistoiminnan toimintaedellytysten vahvistamiseen MIELI ry:n jäsenyhdistyksissä koordinoinnin  ohjauksen  koulutusten ja neuvonnan avulla (505 000 €) | Ay 1: Yleisavustuksena avustuksen saajan yleishyödylliseen toimintaan (1 020 600 €)</t>
        </is>
      </c>
    </row>
    <row r="3">
      <c r="A3" s="2">
        <v>2</v>
      </c>
      <c r="B3" s="2">
        <v>185</v>
      </c>
      <c r="C3" t="inlineStr" s="0">
        <is>
          <t>Ehkäisevä päihdetyö EHYT ry, Förebyggande rusmedelsarbete EHYT rf</t>
        </is>
      </c>
      <c r="D3" s="2">
        <v>4132097.0</v>
      </c>
      <c r="E3" s="2">
        <v>2870805.0</v>
      </c>
      <c r="F3" s="2">
        <v>1261292.0</v>
      </c>
      <c r="G3" s="2">
        <v>69.5</v>
      </c>
      <c r="H3" s="2">
        <v>9</v>
      </c>
      <c r="I3" t="inlineStr" s="0">
        <is>
          <t>Ak 13: Jäsenjärjestöille kohdistettaviin avustuksiin (72 685 €) | 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t>
        </is>
      </c>
    </row>
    <row r="4">
      <c r="A4" s="2">
        <v>3</v>
      </c>
      <c r="B4" s="2">
        <v>969</v>
      </c>
      <c r="C4" t="inlineStr" s="0">
        <is>
          <t>SUOMEN PUNAINEN RISTI</t>
        </is>
      </c>
      <c r="D4" s="2">
        <v>3547809.0</v>
      </c>
      <c r="E4" s="2">
        <v>3032619.0</v>
      </c>
      <c r="F4" s="2">
        <v>515190.0</v>
      </c>
      <c r="G4" s="2">
        <v>85.5</v>
      </c>
      <c r="H4" s="2">
        <v>8</v>
      </c>
      <c r="I4" t="inlineStr" s="0">
        <is>
          <t>Ak 4384: Koti- ja vapaa-ajan tapaturmien sekä työ- ja liikennetapaturmien ehkäisyyn jakamalla väestölle tietoa tapaturmien ehkäisystä viestinnän ja koulutuksen keinoin sekä vapaaehtoisten ja sosiaali-  terveys-  pelastus- ja opetusalan ammattilaisten kautta (93 767 €) | Ay 1: Yleisavustuksena avustuksen saajan yleishyödylliseen toimintaan (349 440 €) | 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t>
        </is>
      </c>
    </row>
    <row r="5">
      <c r="A5" s="2">
        <v>4</v>
      </c>
      <c r="B5" s="2">
        <v>1006</v>
      </c>
      <c r="C5" t="inlineStr" s="0">
        <is>
          <t>Mielenterveyden Keskusliitto ry, ruotsiksi Centralförbundet för Mental Hälsa rf</t>
        </is>
      </c>
      <c r="D5" s="2">
        <v>3003934.0</v>
      </c>
      <c r="E5" s="2">
        <v>1842319.0</v>
      </c>
      <c r="F5" s="2">
        <v>1161615.0</v>
      </c>
      <c r="G5" s="2">
        <v>61.3</v>
      </c>
      <c r="H5" s="2">
        <v>5</v>
      </c>
      <c r="I5" t="inlineStr" s="0">
        <is>
          <t>Ak 6: Jäsenjärjestöille kohdistettaviin avustuksiin (75 000 €)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t>
        </is>
      </c>
    </row>
    <row r="6">
      <c r="A6" s="2">
        <v>5</v>
      </c>
      <c r="B6" s="2">
        <v>189</v>
      </c>
      <c r="C6" t="inlineStr" s="0">
        <is>
          <t>NÄKÖVAMMAISTEN LIITTO RY</t>
        </is>
      </c>
      <c r="D6" s="2">
        <v>2973075.0</v>
      </c>
      <c r="E6" s="2">
        <v>2246223.0</v>
      </c>
      <c r="F6" s="2">
        <v>726852.0</v>
      </c>
      <c r="G6" s="2">
        <v>75.6</v>
      </c>
      <c r="H6" s="2">
        <v>5</v>
      </c>
      <c r="I6" t="inlineStr" s="0">
        <is>
          <t>Ay 1: Yleisavustuksena avustuksen saajan yleishyödylliseen toimintaan (726 852 €) | 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68.3</v>
      </c>
      <c r="H7" s="2">
        <v>10</v>
      </c>
      <c r="I7" t="inlineStr" s="0">
        <is>
          <t>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57.9</v>
      </c>
      <c r="H8" s="2">
        <v>2</v>
      </c>
      <c r="I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100.0</v>
      </c>
      <c r="H9" s="2">
        <v>3</v>
      </c>
      <c r="I9" t="inlineStr" s="0">
        <is>
          <t>Ak 9: Sosiaalisen lomatoiminnan asiakasrekisterin ylläpitoon ja kehittämiseen (84 000 €) | Ak 8: Vapaaehtoispohjaisen tukihenkilöverkoston toimintaan ja koordinointiin haja-asutusalueilla asuville ihmisille (163 000 €) | Ak 1: Sosiaaliseen lomatoimintaan vähävaraisille ja erityisen tuen tarpeessa oleville 
- lapsiperheille
- omaishoitajille
- erityisryhmille
- työikäisille 
- ikääntyneille (2 437 710 €)</t>
        </is>
      </c>
    </row>
    <row r="10">
      <c r="A10" s="2">
        <v>9</v>
      </c>
      <c r="B10" s="2">
        <v>1143</v>
      </c>
      <c r="C10" t="inlineStr" s="0">
        <is>
          <t>Sininauhasäätiö sr</t>
        </is>
      </c>
      <c r="D10" s="2">
        <v>2604324.0</v>
      </c>
      <c r="E10" s="2">
        <v>1993037.0</v>
      </c>
      <c r="F10" s="2">
        <v>611287.0</v>
      </c>
      <c r="G10" s="2">
        <v>76.5</v>
      </c>
      <c r="H10" s="2">
        <v>8</v>
      </c>
      <c r="I10" t="inlineStr" s="0">
        <is>
          <t>Ay 3069: Yleisavustuksena avustuksen saajan yleishyödylliseen toimintaan (194 162 €) | C 13682: Nuorten huumekuolemien ehkäisyyn vertaistoimintaa  riskitietoisuuden vahvistamista ja käytännön ensiapuosaamista lisäämällä (ODE 2.0 Pelasta kaveri – toivoa  tietoa ja toimintaa 2026–2028) (Nuorten huumekuolemien ehkäisyn ohjelma) (417 125 €) | Ak 4: Pitkäaikaisasunnottomien ja vaikeasti asutettavien ihmisten integroimiseen normaaliin asuntokantaan asumispolun eri vaiheissa annettavalla yksilöllisellä ja ryhmämuotoisella tuella sekä asumisvalmiuksien ja -taitojen parantamiseen (309 270 €)</t>
        </is>
      </c>
    </row>
    <row r="11">
      <c r="A11" s="2">
        <v>10</v>
      </c>
      <c r="B11" s="2">
        <v>191</v>
      </c>
      <c r="C11" t="inlineStr" s="0">
        <is>
          <t>Kehitysvammaisten Tukiliitto ry</t>
        </is>
      </c>
      <c r="D11" s="2">
        <v>2591003.0</v>
      </c>
      <c r="E11" s="2">
        <v>1715788.0</v>
      </c>
      <c r="F11" s="2">
        <v>875215.0</v>
      </c>
      <c r="G11" s="2">
        <v>66.2</v>
      </c>
      <c r="H11" s="2">
        <v>9</v>
      </c>
      <c r="I11" t="inlineStr" s="0">
        <is>
          <t>Ay 1: Yleisavustuksena avustuksen saajan yleishyödylliseen toimintaan (875 215 €) | Ak 16: Jäsenjärjestöille kohdistettaviin avustuksiin (70 000 €) | Ak 9: Vaikeavammaisten ja heidän läheistensä osallistumisen edistämiseen toimintavälineiden  tapahtuma-  kurssi- ja koulutustoiminnan avulla sekä alan ammattilaisten osaamisen lisäämiseen vaikuttamistyöllä 
(Malike-toiminta) (520 500 €)</t>
        </is>
      </c>
    </row>
    <row r="12">
      <c r="A12" s="2">
        <v>11</v>
      </c>
      <c r="B12" s="2">
        <v>177</v>
      </c>
      <c r="C12" t="inlineStr" s="0">
        <is>
          <t>KEHITYSVAMMALIITTO RY</t>
        </is>
      </c>
      <c r="D12" s="2">
        <v>2421281.0</v>
      </c>
      <c r="E12" s="2">
        <v>1248923.0</v>
      </c>
      <c r="F12" s="2">
        <v>1172358.0</v>
      </c>
      <c r="G12" s="2">
        <v>51.6</v>
      </c>
      <c r="H12" s="2">
        <v>5</v>
      </c>
      <c r="I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3: Selkokieltä tarvitsevien ihmisten tukemiseen selkokielisen tiedonvälityksen  ajankohtaistiedon  neuvonnan ja koulutusten avulla 
- Selkoaineistojen kehittämiseen ja laadun varmistamiseen
- Selkokielen näkyvyyden lisäämiseen 
(Selkokeskus) (367 133 €)</t>
        </is>
      </c>
    </row>
    <row r="13">
      <c r="A13" s="2">
        <v>12</v>
      </c>
      <c r="B13" s="2">
        <v>993</v>
      </c>
      <c r="C13" t="inlineStr" s="0">
        <is>
          <t>Pelastakaa Lapset ry</t>
        </is>
      </c>
      <c r="D13" s="2">
        <v>2366637.0</v>
      </c>
      <c r="E13" s="2">
        <v>1608896.0</v>
      </c>
      <c r="F13" s="2">
        <v>757741.0</v>
      </c>
      <c r="G13" s="2">
        <v>68.0</v>
      </c>
      <c r="H13" s="2">
        <v>7</v>
      </c>
      <c r="I13" t="inlineStr" s="0">
        <is>
          <t>Ak 8: Lasten aseman ja oikeuksien turvaamiseen ja edistämiseen erityisesti digitaalisessa mediassa (Nettivihjetoiminta) (117 845 €) | Ay 1: Yleisavustuksena avustuksen saajan yleishyödylliseen toimintaan (757 741 €)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89.4</v>
      </c>
      <c r="H14" s="2">
        <v>8</v>
      </c>
      <c r="I14" t="inlineStr" s="0">
        <is>
          <t>Ak 6: MLL:n paikallisen vapaaehtoisen lapsi- ja perhetoiminnan ja sen toimintaedellytyksien ohjaukseen sekä valtakunnalliseen perhekeskusyhteistyöhön (669 834 €)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 | Ak 8: Oppilaiden osallisuutta edistävään vapaaehtoistoimintaan kouluissa (Tukioppilas-   kummioppilas- ja tutortoiminta sekä Koulurauha-ohjelma) (341 713 €)</t>
        </is>
      </c>
    </row>
    <row r="15">
      <c r="A15" s="2">
        <v>14</v>
      </c>
      <c r="B15" s="2">
        <v>1190</v>
      </c>
      <c r="C15" t="inlineStr" s="0">
        <is>
          <t>Sininauhaliitto r.y.</t>
        </is>
      </c>
      <c r="D15" s="2">
        <v>2160261.0</v>
      </c>
      <c r="E15" s="2">
        <v>1339474.0</v>
      </c>
      <c r="F15" s="2">
        <v>820787.0</v>
      </c>
      <c r="G15" s="2">
        <v>62.0</v>
      </c>
      <c r="H15" s="2">
        <v>8</v>
      </c>
      <c r="I15" t="inlineStr" s="0">
        <is>
          <t>Ak 2586: Hyvinvointia edistävän Green Care -toiminnan lisäämiseen ja kehittämiseen sosiaali- ja terveysjärjestöissä (Vihreä veräjä) (187 431 €) | Ak 15: Matalan kynnyksen tuki- ja neuvontapalveluiden ja vertaistukitoiminnan ylläpitämiseen rahapelihaittoja kokeville pelaajille  heidän läheisilleen ja pelihaittoja työssään kohtaaville ammattilaisille (Tiltti) (368 434 €)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t>
        </is>
      </c>
    </row>
    <row r="16">
      <c r="A16" s="2">
        <v>15</v>
      </c>
      <c r="B16" s="2">
        <v>203</v>
      </c>
      <c r="C16" t="inlineStr" s="0">
        <is>
          <t>HYVINVOINTILOMAT RY</t>
        </is>
      </c>
      <c r="D16" s="2">
        <v>2103947.0</v>
      </c>
      <c r="E16" s="2">
        <v>2103947.0</v>
      </c>
      <c r="F16" s="2">
        <v>0.0</v>
      </c>
      <c r="G16" s="2">
        <v>100.0</v>
      </c>
      <c r="H16" s="2">
        <v>1</v>
      </c>
      <c r="I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61.6</v>
      </c>
      <c r="H17" s="2">
        <v>6</v>
      </c>
      <c r="I17" t="inlineStr" s="0">
        <is>
          <t>Ay 1: Yleisavustuksena avustuksen saajan yleishyödylliseen toimintaan (803 250 €) | Ak 15: Viittomakielisten aikuisten  lasten ja nuorten sekä heidän läheistensä voimavarojen  toimintakyvyn ja osallisuuden tukemiseen vertaistukikurssitoiminnan avulla (194 250 €) | Ak 4080: Jäsenjärjestöille kohdistettaviin avustuksiin (30 000 €)</t>
        </is>
      </c>
    </row>
    <row r="18">
      <c r="A18" s="2">
        <v>17</v>
      </c>
      <c r="B18" s="2">
        <v>125</v>
      </c>
      <c r="C18" t="inlineStr" s="0">
        <is>
          <t>Setlementti Tampere ry</t>
        </is>
      </c>
      <c r="D18" s="2">
        <v>2043637.0</v>
      </c>
      <c r="E18" s="2">
        <v>1550611.0</v>
      </c>
      <c r="F18" s="2">
        <v>493026.0</v>
      </c>
      <c r="G18" s="2">
        <v>75.9</v>
      </c>
      <c r="H18" s="2">
        <v>10</v>
      </c>
      <c r="I18" t="inlineStr" s="0">
        <is>
          <t>Ak 9885: Kiusaamista kokeneiden ja heidän läheistensä selviytymistä ja toipumista edistävään yksilöllisen tukeen ja vertaisryhmätoimintaan sekä ammattilaisten osaamisen kehittämiseen kiusaamisteemasta (99 320 €) | Ak 4: Maahanmuuttajanaisten ja heidän perheidensä kotoutumisen tukemiseen  osallisuuden lisäämiseen sekä syrjäytymisen ehkäisyyn avoimen toiminnan  ryhmien sekä yksilöneuvonnan ja -tuen keinoin (Kansainvälinen naisten tapaamispaikka Naistari) (140 026 €) | Ak 2442: Ryhmä- ja yksilömuotoiseen  sekä avoimeen tukitoimintaan neuropsykiatrisia piirteitä omaaville aikuisille (Omavoima) (140 915 €)</t>
        </is>
      </c>
    </row>
    <row r="19">
      <c r="A19" s="2">
        <v>18</v>
      </c>
      <c r="B19" s="2">
        <v>498</v>
      </c>
      <c r="C19" t="inlineStr" s="0">
        <is>
          <t>NUORTEN YSTÄVÄT RY</t>
        </is>
      </c>
      <c r="D19" s="2">
        <v>2004448.0</v>
      </c>
      <c r="E19" s="2">
        <v>1197571.0</v>
      </c>
      <c r="F19" s="2">
        <v>806877.0</v>
      </c>
      <c r="G19" s="2">
        <v>59.7</v>
      </c>
      <c r="H19" s="2">
        <v>7</v>
      </c>
      <c r="I19" t="inlineStr" s="0">
        <is>
          <t>C 13717: Euroopan sosiaalirahasto plussan (ESR+) hankkeen "Vapaaksi" (Dnro: EURA 2021/209866/09) osarahoitukseen järjestölle (2026-2028) (94 938 €) | Ak 1279: Vanhemmuuden tukemiseen  lapsiperheiden hyvinvoinnin vahvistamiseen ja koululaisten luvattomien poissaolojen sekä koulupudokkuuden ehkäisemiseen
(Vanhempien Akatemia) (359 668 €) | Ay 2: Yleisavustuksena avustuksen saajan yleishyödylliseen toimintaan (294 814 €)</t>
        </is>
      </c>
    </row>
    <row r="20">
      <c r="A20" s="2">
        <v>19</v>
      </c>
      <c r="B20" s="2">
        <v>347</v>
      </c>
      <c r="C20" t="inlineStr" s="0">
        <is>
          <t>Kuuloliitto ry, Finska Hörselförbundet rf</t>
        </is>
      </c>
      <c r="D20" s="2">
        <v>1969628.0</v>
      </c>
      <c r="E20" s="2">
        <v>915450.0</v>
      </c>
      <c r="F20" s="2">
        <v>1054178.0</v>
      </c>
      <c r="G20" s="2">
        <v>46.5</v>
      </c>
      <c r="H20" s="2">
        <v>5</v>
      </c>
      <c r="I20" t="inlineStr" s="0">
        <is>
          <t>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60.9</v>
      </c>
      <c r="H21" s="2">
        <v>6</v>
      </c>
      <c r="I21" t="inlineStr" s="0">
        <is>
          <t>Ak 5695: Maahanmuuttajien  erityisesti naismaahanmuuttajien työllistymisen edistämiseen mentoroinnilla ja verkostotyöllä (93 135 €) | Ay 1: Yleisavustuksena avustuksen saajan yleishyödylliseen toimintaan (750 000 €) | Ak 5: Intiimeissä ihmissuhteissa huolta kokevien nuorten ja nuorten aikuisten seksuaalisen hyvinvoinnin tukemiseen verkkopalveluiden ja tiedontuotannon keinoin (250 000 €)</t>
        </is>
      </c>
    </row>
    <row r="22">
      <c r="A22" s="2">
        <v>21</v>
      </c>
      <c r="B22" s="2">
        <v>371</v>
      </c>
      <c r="C22" t="inlineStr" s="0">
        <is>
          <t>Etelä-Suomen Klubitalot ESKOT ry</t>
        </is>
      </c>
      <c r="D22" s="2">
        <v>1876227.0</v>
      </c>
      <c r="E22" s="2">
        <v>1578817.0</v>
      </c>
      <c r="F22" s="2">
        <v>297410.0</v>
      </c>
      <c r="G22" s="2">
        <v>84.1</v>
      </c>
      <c r="H22" s="2">
        <v>8</v>
      </c>
      <c r="I22" t="inlineStr" s="0">
        <is>
          <t>Ak 2519: Mielenterveyskuntoutujien terveyttä  hyvinvointia  osallisuutta sekä työ- ja opiskeluelämään palaamista edistävään kohtaamispaikkatoimintaan (Imatran Klubitalo) (179 707 €) | Ak 2: Mielenterveyskuntoutujien terveyttä  hyvinvointia  osallisuutta sekä työ- ja opiskeluelämään palaamista edistävään kohtaamispaikkatoimintaan (Itä-Helsingin Klubitalo) (185 220 €) | Ak 7829: Mielenterveyskuntoutujien terveyttä  hyvinvointia  osallisuutta sekä työ- ja opiskeluelämään palaamista edistävään kohtaamispaikkatoimintaan (Tuusulanjärven Klubitalo) (203 962 €)</t>
        </is>
      </c>
    </row>
    <row r="23">
      <c r="A23" s="2">
        <v>22</v>
      </c>
      <c r="B23" s="2">
        <v>1021</v>
      </c>
      <c r="C23" t="inlineStr" s="0">
        <is>
          <t>SOSIAALIPEDAGOGIIKAN SÄÄTIÖ</t>
        </is>
      </c>
      <c r="D23" s="2">
        <v>1856615.0</v>
      </c>
      <c r="E23" s="2">
        <v>1475315.0</v>
      </c>
      <c r="F23" s="2">
        <v>381300.0</v>
      </c>
      <c r="G23" s="2">
        <v>79.5</v>
      </c>
      <c r="H23" s="2">
        <v>4</v>
      </c>
      <c r="I23" t="inlineStr" s="0">
        <is>
          <t>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82.1</v>
      </c>
      <c r="H24" s="2">
        <v>6</v>
      </c>
      <c r="I24" t="inlineStr" s="0">
        <is>
          <t>Ak 7504: Aikuisten yksinäisyyden tunteen vähentämiseen yksinäisyysohjelman  yksinäisyyden omahoito-ohjelman ja keskusteluavun keinoin (Yksinäisyystyön keskus) (215 000 €) | Ak 11131: Lapsiperheiden yksinäisyyden kokemusten vähentämiseen  osallisuuden lisäämiseen ja voimavarojen vahvistamiseen keskusteluavun  ohjauksen  neuvonnan ja vapaaehtoistoiminnan avulla (HelsinkiMission Perhetoiminta) (225 000 €) | Ak 11119: Nuorten yksinäisyyden kokemusten vähentämiseen ja osallisuuden vahvistamiseen keskustelu- ja kriisiavun  vapaaehtoisen kaveritoiminnan sekä jalkautuvan yhteisötoiminnan keinoin (244 000 €)</t>
        </is>
      </c>
    </row>
    <row r="25">
      <c r="A25" s="2">
        <v>24</v>
      </c>
      <c r="B25" s="2">
        <v>888</v>
      </c>
      <c r="C25" t="inlineStr" s="0">
        <is>
          <t>Loisto setlementti ry</t>
        </is>
      </c>
      <c r="D25" s="2">
        <v>1770989.0</v>
      </c>
      <c r="E25" s="2">
        <v>1414123.0</v>
      </c>
      <c r="F25" s="2">
        <v>356866.0</v>
      </c>
      <c r="G25" s="2">
        <v>79.8</v>
      </c>
      <c r="H25" s="2">
        <v>9</v>
      </c>
      <c r="I25" t="inlineStr" s="0">
        <is>
          <t>C 13723: Euroopan sosiaalirahasto plussan (ESR+) hankkeen "SUSE - sukupuolisensitiivisyys nuorten
palveluissa " osarahoitukseen järjestölle (2026-2028) (58 258 €) | 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t>
        </is>
      </c>
    </row>
    <row r="26">
      <c r="A26" s="2">
        <v>25</v>
      </c>
      <c r="B26" s="2">
        <v>33</v>
      </c>
      <c r="C26" t="inlineStr" s="0">
        <is>
          <t>INVALIDILIITTO RY</t>
        </is>
      </c>
      <c r="D26" s="2">
        <v>1738333.0</v>
      </c>
      <c r="E26" s="2">
        <v>703088.0</v>
      </c>
      <c r="F26" s="2">
        <v>1035245.0</v>
      </c>
      <c r="G26" s="2">
        <v>40.4</v>
      </c>
      <c r="H26" s="2">
        <v>4</v>
      </c>
      <c r="I26" t="inlineStr" s="0">
        <is>
          <t>Ak 17: Jäsenjärjestöille kohdistettaviin avustuksiin (36 750 €) | Ak 9: Harvinaisiin tuki- ja liikuntaelinsairaus- ja vammaryhmiin kuuluvien henkilöiden ja heidän läheistensä hyvinvoinnin ja osallistumismahdollisuuksien edistämiseen vertaistuen  koulutusten  ohjauksen ja neuvonnan avulla (142 538 €) | Ay 1: Yleisavustuksena avustuksen saajan yleishyödylliseen toimintaan (1 035 245 €)</t>
        </is>
      </c>
    </row>
    <row r="27">
      <c r="A27" s="2">
        <v>26</v>
      </c>
      <c r="B27" s="2">
        <v>47</v>
      </c>
      <c r="C27" t="inlineStr" s="0">
        <is>
          <t>ENSI- JA TURVAKOTIEN LIITTO RY</t>
        </is>
      </c>
      <c r="D27" s="2">
        <v>1735644.0</v>
      </c>
      <c r="E27" s="2">
        <v>1074018.0</v>
      </c>
      <c r="F27" s="2">
        <v>661626.0</v>
      </c>
      <c r="G27" s="2">
        <v>61.9</v>
      </c>
      <c r="H27" s="2">
        <v>4</v>
      </c>
      <c r="I27" t="inlineStr" s="0">
        <is>
          <t>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 | Ay 1: Yleisavustuksena avustuksen saajan yleishyödylliseen toimintaan (661 626 €)</t>
        </is>
      </c>
    </row>
    <row r="28">
      <c r="A28" s="2">
        <v>27</v>
      </c>
      <c r="B28" s="2">
        <v>526</v>
      </c>
      <c r="C28" t="inlineStr" s="0">
        <is>
          <t>VANHUSTYÖN KESKUSLIITTO RY</t>
        </is>
      </c>
      <c r="D28" s="2">
        <v>1673263.0</v>
      </c>
      <c r="E28" s="2">
        <v>997619.0</v>
      </c>
      <c r="F28" s="2">
        <v>675644.0</v>
      </c>
      <c r="G28" s="2">
        <v>59.6</v>
      </c>
      <c r="H28" s="2">
        <v>5</v>
      </c>
      <c r="I28" t="inlineStr" s="0">
        <is>
          <t>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 | 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t>
        </is>
      </c>
    </row>
    <row r="29">
      <c r="A29" s="2">
        <v>28</v>
      </c>
      <c r="B29" s="2">
        <v>53</v>
      </c>
      <c r="C29" t="inlineStr" s="0">
        <is>
          <t>SUOMEN MERIPELASTUSSEURA RY</t>
        </is>
      </c>
      <c r="D29" s="2">
        <v>1671292.0</v>
      </c>
      <c r="E29" s="2">
        <v>307500.0</v>
      </c>
      <c r="F29" s="2">
        <v>1363792.0</v>
      </c>
      <c r="G29" s="2">
        <v>18.4</v>
      </c>
      <c r="H29" s="2">
        <v>4</v>
      </c>
      <c r="I29" t="inlineStr" s="0">
        <is>
          <t>Ak 2: Meri- ja järvipelastustehtävissä toimivien vapaaehtoisten pätevyyden varmistamiseen  osaamisen lisäämiseen sekä miehistöjen toimintakyvyn ylläpitämiseen (262 500 €) | B 1: Pelastusalushankintojen  korjauksien  huoltojen ja varustehankintojen menoihin (973 192 €) | Ak 3: Jäsenjärjestöille kohdistettaviin avustuksiin (45 000 €)</t>
        </is>
      </c>
    </row>
    <row r="30">
      <c r="A30" s="2">
        <v>29</v>
      </c>
      <c r="B30" s="2">
        <v>758</v>
      </c>
      <c r="C30" t="inlineStr" s="0">
        <is>
          <t>NEUROLIITTO RY</t>
        </is>
      </c>
      <c r="D30" s="2">
        <v>1645050.0</v>
      </c>
      <c r="E30" s="2">
        <v>1004583.0</v>
      </c>
      <c r="F30" s="2">
        <v>640467.0</v>
      </c>
      <c r="G30" s="2">
        <v>61.1</v>
      </c>
      <c r="H30" s="2">
        <v>6</v>
      </c>
      <c r="I30" t="inlineStr" s="0">
        <is>
          <t>Ak 1619: Jäsenjärjestöille kohdistettaviin avustuksiin (25 000 €) | Ak 14: MS-tautia  essentiaalista vapinaa  neurologisia harvinaissairauksia  Parkinsonin tautia  harvinaisia liikehäiriösairauksia sairastavien  aivovammautuneiden ja aivoverenkiertohäiriön sairastaneiden sekä heidän läheistensä tukemiseen neuvontatoiminnalla (167 769 €) | 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t>
        </is>
      </c>
    </row>
    <row r="31">
      <c r="A31" s="2">
        <v>30</v>
      </c>
      <c r="B31" s="2">
        <v>58</v>
      </c>
      <c r="C31" t="inlineStr" s="0">
        <is>
          <t>Takuusäätiö</t>
        </is>
      </c>
      <c r="D31" s="2">
        <v>1589858.0</v>
      </c>
      <c r="E31" s="2">
        <v>1138715.0</v>
      </c>
      <c r="F31" s="2">
        <v>451143.0</v>
      </c>
      <c r="G31" s="2">
        <v>71.6</v>
      </c>
      <c r="H31" s="2">
        <v>3</v>
      </c>
      <c r="I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100.0</v>
      </c>
      <c r="H32" s="2">
        <v>9</v>
      </c>
      <c r="I32" t="inlineStr" s="0">
        <is>
          <t>Ak 3: Päihde- ja mielenterveysongelmaisten sekä syrjäytymisvaarassa olevien voimavarojen ja sosiaalisten verkostojen vahvistamiseen CABLE-yhteisövalmennuksen ja vapaaehtoistoiminnan keinoin (D-asemat Kallio ja Kontula) (360 635 €)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t>
        </is>
      </c>
    </row>
    <row r="33">
      <c r="A33" s="2">
        <v>32</v>
      </c>
      <c r="B33" s="2">
        <v>976</v>
      </c>
      <c r="C33" t="inlineStr" s="0">
        <is>
          <t>BARNAVÅRDSFÖRENINGEN I FINLAND RF</t>
        </is>
      </c>
      <c r="D33" s="2">
        <v>1555225.0</v>
      </c>
      <c r="E33" s="2">
        <v>1308729.0</v>
      </c>
      <c r="F33" s="2">
        <v>246496.0</v>
      </c>
      <c r="G33" s="2">
        <v>84.2</v>
      </c>
      <c r="H33" s="2">
        <v>9</v>
      </c>
      <c r="I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100.0</v>
      </c>
      <c r="H34" s="2">
        <v>1</v>
      </c>
      <c r="I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73.5</v>
      </c>
      <c r="H35" s="2">
        <v>7</v>
      </c>
      <c r="I35" t="inlineStr" s="0">
        <is>
          <t>Ak 1: Rikosseuraamusasiakkaiden ja heidän omaistensa tiedon lisäämiseen oikeuksistaan neuvonnalla  vankilainfoilla ja vaikuttamistyöllä (Kriminaaliasiamiestoiminta) (235 450 €) | Ak 5: Asunnottomana vankilasta vapautuvien ja muiden rikosseuraamustaustaisten henkilöiden asunnottomuuden ja uusintarikollisuuden vähentämiseen asumispalveluohjauksen sekä Vapautuvien Asumisen Tuen (VAT) -verkoston avulla (113 050 €) | Ak 7: Rikostaustaisten läheis- ja perhetyön koordinointiin sekä vankien ja heidän omaistensa tukemiseen yksilöohjauksella sekä vertaisryhmä- ja leiritoiminnalla (207 868 €)</t>
        </is>
      </c>
    </row>
    <row r="36">
      <c r="A36" s="2">
        <v>35</v>
      </c>
      <c r="B36" s="2">
        <v>820</v>
      </c>
      <c r="C36" t="inlineStr" s="0">
        <is>
          <t>Suomen CP-liitto ry, Finlands CP-förbund rf</t>
        </is>
      </c>
      <c r="D36" s="2">
        <v>1454920.0</v>
      </c>
      <c r="E36" s="2">
        <v>764010.0</v>
      </c>
      <c r="F36" s="2">
        <v>690910.0</v>
      </c>
      <c r="G36" s="2">
        <v>52.5</v>
      </c>
      <c r="H36" s="2">
        <v>5</v>
      </c>
      <c r="I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t>
        </is>
      </c>
    </row>
    <row r="37">
      <c r="A37" s="2">
        <v>36</v>
      </c>
      <c r="B37" s="2">
        <v>1165</v>
      </c>
      <c r="C37" t="inlineStr" s="0">
        <is>
          <t>Eläkeliitto ry</t>
        </is>
      </c>
      <c r="D37" s="2">
        <v>1442898.0</v>
      </c>
      <c r="E37" s="2">
        <v>729800.0</v>
      </c>
      <c r="F37" s="2">
        <v>713098.0</v>
      </c>
      <c r="G37" s="2">
        <v>50.6</v>
      </c>
      <c r="H37" s="2">
        <v>5</v>
      </c>
      <c r="I37" t="inlineStr" s="0">
        <is>
          <t>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 | Ak 1621: Aisti- tai toimintakyvyltään heikentyneiden ikääntyneiden hyvinvoinnin edistämiseen musiikkisisältöisen ja muun toimintakykyä tukevan vapaaehtoistoiminnan avulla sekä vapaaehtoisten osaamisen vahvistamiseen (277 000 €)</t>
        </is>
      </c>
    </row>
    <row r="38">
      <c r="A38" s="2">
        <v>37</v>
      </c>
      <c r="B38" s="2">
        <v>470</v>
      </c>
      <c r="C38" t="inlineStr" s="0">
        <is>
          <t>Hengitysliitto ry</t>
        </is>
      </c>
      <c r="D38" s="2">
        <v>1419506.0</v>
      </c>
      <c r="E38" s="2">
        <v>584000.0</v>
      </c>
      <c r="F38" s="2">
        <v>835506.0</v>
      </c>
      <c r="G38" s="2">
        <v>41.1</v>
      </c>
      <c r="H38" s="2">
        <v>5</v>
      </c>
      <c r="I38" t="inlineStr" s="0">
        <is>
          <t>Ak 5: Harvinaista hengityssairautta sairastavien sekä heidän läheistensä hyvinvoinnin tukemiseen  neuvontaan  vertaistuki- ja vapaaehtoistoimintaan sekä ammattilaisten tiedon lisäämiseen (117 000 €) | Ay 1: Yleisavustuksena avustuksen saajan yleishyödylliseen toimintaan (835 506 €) | Ak 8: Aikuisten nikotiinituotteiden käytön lopettamisen tukeen verkko-  puhelin- ja vertaistuen avulla (120 000 €)</t>
        </is>
      </c>
    </row>
    <row r="39">
      <c r="A39" s="2">
        <v>38</v>
      </c>
      <c r="B39" s="2">
        <v>638</v>
      </c>
      <c r="C39" t="inlineStr" s="0">
        <is>
          <t>SUOMEN REUMALIITTO RY-REUMAFÖRBUNDET I FINLAND RF</t>
        </is>
      </c>
      <c r="D39" s="2">
        <v>1372991.0</v>
      </c>
      <c r="E39" s="2">
        <v>602763.0</v>
      </c>
      <c r="F39" s="2">
        <v>770228.0</v>
      </c>
      <c r="G39" s="2">
        <v>43.9</v>
      </c>
      <c r="H39" s="2">
        <v>6</v>
      </c>
      <c r="I39" t="inlineStr" s="0">
        <is>
          <t>Ay 1: Yleisavustuksena avustuksen saajan yleishyödylliseen toimintaan (770 228 €) | Ak 11: Harvinaista reuma- ja tule-sairautta sairastavien tiedon  verkostoitumisen ja vertaistuen lisäämiseen (16 813 €) | Ak 6: Reumaa sekä tuki- ja liikuntaelinsairauksia sairastavien kurssitoimintaan elämänhallinnan  hyvinvoinnin ja terveyden tukemiseksi vertaistuellisen ryhmätoiminnan avulla (154 000 €)</t>
        </is>
      </c>
    </row>
    <row r="40">
      <c r="A40" s="2">
        <v>39</v>
      </c>
      <c r="B40" s="2">
        <v>294</v>
      </c>
      <c r="C40" t="inlineStr" s="0">
        <is>
          <t>PRO-TUKIPISTE RY</t>
        </is>
      </c>
      <c r="D40" s="2">
        <v>1366587.0</v>
      </c>
      <c r="E40" s="2">
        <v>993544.0</v>
      </c>
      <c r="F40" s="2">
        <v>373043.0</v>
      </c>
      <c r="G40" s="2">
        <v>72.7</v>
      </c>
      <c r="H40" s="2">
        <v>5</v>
      </c>
      <c r="I40" t="inlineStr" s="0">
        <is>
          <t>Ak 5678: Seksityössä mukana olevien neuvontaan  matalan kynnyksen tukitoimintaan  yhteisölliseen toimintaan ja etsivään työhön Turun seudulla. (212 710 €) | Ak 1: Seksityössä mukana olevien neuvontaan  matalan kynnyksen tukitoimintaan  yhteisölliseen toimintaan ja etsivään työhön pääkaupunkiseudulla. (438 563 €) | Ay 2: Yleisavustuksena avustuksen saajan yleishyödylliseen toimintaan (373 043 €)</t>
        </is>
      </c>
    </row>
    <row r="41">
      <c r="A41" s="2">
        <v>40</v>
      </c>
      <c r="B41" s="2">
        <v>199</v>
      </c>
      <c r="C41" t="inlineStr" s="0">
        <is>
          <t>MIESSAKIT RY</t>
        </is>
      </c>
      <c r="D41" s="2">
        <v>1365435.0</v>
      </c>
      <c r="E41" s="2">
        <v>1079667.0</v>
      </c>
      <c r="F41" s="2">
        <v>285768.0</v>
      </c>
      <c r="G41" s="2">
        <v>79.1</v>
      </c>
      <c r="H41" s="2">
        <v>6</v>
      </c>
      <c r="I41" t="inlineStr" s="0">
        <is>
          <t>Ak 6066: Maahan muuttaneiden miesten työelämävalmiuksien ja työllistymisen edistämiseen sekä kaksisuuntaisen kotoutumisen tukemiseen mentori-  tukihenkilö- ja suomenkielisen keskusteluryhmätoiminnan avulla Helsingissä  Turussa ja Tampereella (Vieraasta Veljeksi) (87 000 €) | 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t>
        </is>
      </c>
    </row>
    <row r="42">
      <c r="A42" s="2">
        <v>41</v>
      </c>
      <c r="B42" s="2">
        <v>696</v>
      </c>
      <c r="C42" t="inlineStr" s="0">
        <is>
          <t>Suomen Pakolaisapu ry, Finlands Flyktinghjälp rf</t>
        </is>
      </c>
      <c r="D42" s="2">
        <v>1355640.0</v>
      </c>
      <c r="E42" s="2">
        <v>1059000.0</v>
      </c>
      <c r="F42" s="2">
        <v>296640.0</v>
      </c>
      <c r="G42" s="2">
        <v>78.1</v>
      </c>
      <c r="H42" s="2">
        <v>7</v>
      </c>
      <c r="I42" t="inlineStr" s="0">
        <is>
          <t>Ay 7: Yleisavustuksena avustuksen saajan yleishyödylliseen toimintaan (296 640 €)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t>
        </is>
      </c>
    </row>
    <row r="43">
      <c r="A43" s="2">
        <v>42</v>
      </c>
      <c r="B43" s="2">
        <v>843</v>
      </c>
      <c r="C43" t="inlineStr" s="0">
        <is>
          <t>Diabetesliitto ry</t>
        </is>
      </c>
      <c r="D43" s="2">
        <v>1340493.0</v>
      </c>
      <c r="E43" s="2">
        <v>537243.0</v>
      </c>
      <c r="F43" s="2">
        <v>803250.0</v>
      </c>
      <c r="G43" s="2">
        <v>40.1</v>
      </c>
      <c r="H43" s="2">
        <v>4</v>
      </c>
      <c r="I43" t="inlineStr" s="0">
        <is>
          <t>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43.3</v>
      </c>
      <c r="H44" s="2">
        <v>3</v>
      </c>
      <c r="I44" t="inlineStr" s="0">
        <is>
          <t>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 | Ay 1: Yleisavustuksena avustuksen saajan yleishyödylliseen toimintaan (755 948 €)</t>
        </is>
      </c>
    </row>
    <row r="45">
      <c r="A45" s="2">
        <v>44</v>
      </c>
      <c r="B45" s="2">
        <v>655</v>
      </c>
      <c r="C45" t="inlineStr" s="0">
        <is>
          <t>Aseman Lapset ry</t>
        </is>
      </c>
      <c r="D45" s="2">
        <v>1309040.0</v>
      </c>
      <c r="E45" s="2">
        <v>1052000.0</v>
      </c>
      <c r="F45" s="2">
        <v>257040.0</v>
      </c>
      <c r="G45" s="2">
        <v>80.4</v>
      </c>
      <c r="H45" s="2">
        <v>6</v>
      </c>
      <c r="I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t>
        </is>
      </c>
    </row>
    <row r="46">
      <c r="A46" s="2">
        <v>45</v>
      </c>
      <c r="B46" s="2">
        <v>286</v>
      </c>
      <c r="C46" t="inlineStr" s="0">
        <is>
          <t>Tukena-säätiö sr</t>
        </is>
      </c>
      <c r="D46" s="2">
        <v>1291400.0</v>
      </c>
      <c r="E46" s="2">
        <v>993800.0</v>
      </c>
      <c r="F46" s="2">
        <v>297600.0</v>
      </c>
      <c r="G46" s="2">
        <v>77.0</v>
      </c>
      <c r="H46" s="2">
        <v>4</v>
      </c>
      <c r="I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t>
        </is>
      </c>
    </row>
    <row r="47">
      <c r="A47" s="2">
        <v>46</v>
      </c>
      <c r="B47" s="2">
        <v>233</v>
      </c>
      <c r="C47" t="inlineStr" s="0">
        <is>
          <t>SUOMEN KUUROSOKEAT RY</t>
        </is>
      </c>
      <c r="D47" s="2">
        <v>1281857.0</v>
      </c>
      <c r="E47" s="2">
        <v>935777.0</v>
      </c>
      <c r="F47" s="2">
        <v>346080.0</v>
      </c>
      <c r="G47" s="2">
        <v>73.0</v>
      </c>
      <c r="H47" s="2">
        <v>5</v>
      </c>
      <c r="I47" t="inlineStr" s="0">
        <is>
          <t>Ak 13: Kuurosokeiden ja kuulonäkövammaisten itsenäisen arjen asioinnin ja sosiaalisen kanssakäymisen tukemiseen tieto- ja viestintäteknologian ohjaus-  tuki- ja koulutustoiminnan avulla (270 375 €) | Ak 15: Kuurosokeiden  kuulonäkövammaisten sekä heidän lähipiirinsä ja verkostonsa kommunikaatiotaitojen ja vuorovaikutuksen lisäämiseen ohjauksen  koulutuksen ja kommunikaatiomateriaalituotannon avulla (140 175 €) | Ay 1: Yleisavustuksena avustuksen saajan yleishyödylliseen toimintaan (346 080 €)</t>
        </is>
      </c>
    </row>
    <row r="48">
      <c r="A48" s="2">
        <v>47</v>
      </c>
      <c r="B48" s="2">
        <v>1214</v>
      </c>
      <c r="C48" t="inlineStr" s="0">
        <is>
          <t>TUKIKOHTA RY</t>
        </is>
      </c>
      <c r="D48" s="2">
        <v>1246390.0</v>
      </c>
      <c r="E48" s="2">
        <v>1019449.0</v>
      </c>
      <c r="F48" s="2">
        <v>226941.0</v>
      </c>
      <c r="G48" s="2">
        <v>81.8</v>
      </c>
      <c r="H48" s="2">
        <v>6</v>
      </c>
      <c r="I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75.2</v>
      </c>
      <c r="H49" s="2">
        <v>3</v>
      </c>
      <c r="I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Ay 1: Yleisavustuksena avustuksen saajan yleishyödylliseen toimintaan (308 160 €) | Ak 4: Syöpäjärjestöjen yksilölliseen ja ryhmämuotoiseen psykososiaaliseen tukeen syöpään sairastuneille ja heidän läheisilleen (452 233 €)</t>
        </is>
      </c>
    </row>
    <row r="50">
      <c r="A50" s="2">
        <v>49</v>
      </c>
      <c r="B50" s="2">
        <v>1027</v>
      </c>
      <c r="C50" t="inlineStr" s="0">
        <is>
          <t>MUNUAIS- JA MAKSALIITTO RY</t>
        </is>
      </c>
      <c r="D50" s="2">
        <v>1234119.0</v>
      </c>
      <c r="E50" s="2">
        <v>523899.0</v>
      </c>
      <c r="F50" s="2">
        <v>710220.0</v>
      </c>
      <c r="G50" s="2">
        <v>42.5</v>
      </c>
      <c r="H50" s="2">
        <v>5</v>
      </c>
      <c r="I50" t="inlineStr" s="0">
        <is>
          <t>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 | Ay 1: Yleisavustuksena avustuksen saajan yleishyödylliseen toimintaan (710 220 €)</t>
        </is>
      </c>
    </row>
    <row r="51">
      <c r="A51" s="2">
        <v>50</v>
      </c>
      <c r="B51" s="2">
        <v>292</v>
      </c>
      <c r="C51" t="inlineStr" s="0">
        <is>
          <t>LAHDEN ENSI- JA TURVAKOTI RY</t>
        </is>
      </c>
      <c r="D51" s="2">
        <v>1226664.0</v>
      </c>
      <c r="E51" s="2">
        <v>1226664.0</v>
      </c>
      <c r="F51" s="2">
        <v>0.0</v>
      </c>
      <c r="G51" s="2">
        <v>100.0</v>
      </c>
      <c r="H51" s="2">
        <v>6</v>
      </c>
      <c r="I51" t="inlineStr" s="0">
        <is>
          <t>Ak 12306: Kodin ulkopuoliseen väkivaltaan syyllistyneiden tai syyllistymisriskissä olevien väkivaltaisen käyttäytymisen vähentämiseen ja ehkäisemiseen yksilöllisen asiakastyön ja verkostotyön avulla (Aggredi Päijät-Häme) (160 000 €) | 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t>
        </is>
      </c>
    </row>
    <row r="52">
      <c r="A52" s="2">
        <v>51</v>
      </c>
      <c r="B52" s="2">
        <v>1139</v>
      </c>
      <c r="C52" t="inlineStr" s="0">
        <is>
          <t>SUOMEN SYDÄNLIITTO RY - FINLANDS HJÄRTFÖRBUND RF</t>
        </is>
      </c>
      <c r="D52" s="2">
        <v>1196188.0</v>
      </c>
      <c r="E52" s="2">
        <v>718037.0</v>
      </c>
      <c r="F52" s="2">
        <v>478151.0</v>
      </c>
      <c r="G52" s="2">
        <v>60.0</v>
      </c>
      <c r="H52" s="2">
        <v>3</v>
      </c>
      <c r="I52" t="inlineStr" s="0">
        <is>
          <t>Ak 4465: Sydänterveyden ja toimintakyvyn edistämiseen tiedonvälityksen  vertaistuen ja ammattilaisten koulutuksen keinoin (340 142 €) | 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t>
        </is>
      </c>
    </row>
    <row r="53">
      <c r="A53" s="2">
        <v>52</v>
      </c>
      <c r="B53" s="2">
        <v>647</v>
      </c>
      <c r="C53" t="inlineStr" s="0">
        <is>
          <t>MONIKA-NAISET LIITTO RY</t>
        </is>
      </c>
      <c r="D53" s="2">
        <v>1187351.0</v>
      </c>
      <c r="E53" s="2">
        <v>781182.0</v>
      </c>
      <c r="F53" s="2">
        <v>406169.0</v>
      </c>
      <c r="G53" s="2">
        <v>65.8</v>
      </c>
      <c r="H53" s="2">
        <v>4</v>
      </c>
      <c r="I53" t="inlineStr" s="0">
        <is>
          <t>C 13827: Kansalaisuus  tasa-arvo  perusoikeudet ja arvot -rahoitusohjelman (CERV) hankkeen "Riza" osarahoitukseen järjestölle (2026-2028) (46 300 €)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t>
        </is>
      </c>
    </row>
    <row r="54">
      <c r="A54" s="2">
        <v>53</v>
      </c>
      <c r="B54" s="2">
        <v>742</v>
      </c>
      <c r="C54" t="inlineStr" s="0">
        <is>
          <t>Allergia- Iho- ja Astmaliitto ry, Allergi- Hud- och Astmaförbundet rf</t>
        </is>
      </c>
      <c r="D54" s="2">
        <v>1157857.0</v>
      </c>
      <c r="E54" s="2">
        <v>456982.0</v>
      </c>
      <c r="F54" s="2">
        <v>700875.0</v>
      </c>
      <c r="G54" s="2">
        <v>39.5</v>
      </c>
      <c r="H54" s="2">
        <v>3</v>
      </c>
      <c r="I54" t="inlineStr" s="0">
        <is>
          <t>Ak 3: Jäsenjärjestöille kohdistettaviin avustuksiin (88 600 €) | Ak 6: Allergiaa  astmaa ja ihotauteja sairastavien sekä palovamman kokeneiden ja heidän läheistensä hyvinvoinnin sekä työ- ja toimintakyvyn edistämiseen ja ylläpitämiseen internaatti- ja avomuotoisten sekä verkossa toteutettavien kurssien avulla (368 382 €) | Ay 2: Yleisavustuksena avustuksen saajan yleishyödylliseen toimintaan (700 875 €)</t>
        </is>
      </c>
    </row>
    <row r="55">
      <c r="A55" s="2">
        <v>54</v>
      </c>
      <c r="B55" s="2">
        <v>73</v>
      </c>
      <c r="C55" t="inlineStr" s="0">
        <is>
          <t>EPILEPSIALIITTO RY</t>
        </is>
      </c>
      <c r="D55" s="2">
        <v>1125346.0</v>
      </c>
      <c r="E55" s="2">
        <v>374436.0</v>
      </c>
      <c r="F55" s="2">
        <v>750910.0</v>
      </c>
      <c r="G55" s="2">
        <v>33.3</v>
      </c>
      <c r="H55" s="2">
        <v>3</v>
      </c>
      <c r="I55" t="inlineStr" s="0">
        <is>
          <t>Ay 1: Yleisavustuksena avustuksen saajan yleishyödylliseen toimintaan (750 910 €) | Ak 4: Jäsenjärjestöille kohdistettaviin avustuksiin (73 296 €) | Ak 5: Epilepsiaa sairastavien ihmisten ja heidän läheistensä hyvinvointia ja toimintakykyä tukevaan tavoitteelliseen vertaistuki-  ryhmä- ja kurssitoimintaan valtakunnallisesti ja alueellisesti verkko- ja lähitapaamisina (301 140 €)</t>
        </is>
      </c>
    </row>
    <row r="56">
      <c r="A56" s="2">
        <v>55</v>
      </c>
      <c r="B56" s="2">
        <v>597</v>
      </c>
      <c r="C56" t="inlineStr" s="0">
        <is>
          <t>AIVOVAMMALIITTO RY</t>
        </is>
      </c>
      <c r="D56" s="2">
        <v>1124787.0</v>
      </c>
      <c r="E56" s="2">
        <v>587226.0</v>
      </c>
      <c r="F56" s="2">
        <v>537561.0</v>
      </c>
      <c r="G56" s="2">
        <v>52.2</v>
      </c>
      <c r="H56" s="2">
        <v>4</v>
      </c>
      <c r="I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32.3</v>
      </c>
      <c r="H57" s="2">
        <v>3</v>
      </c>
      <c r="I57" t="inlineStr" s="0">
        <is>
          <t>Ak 6: Jäsenjärjestöille kohdistettaviin avustuksiin (75 000 €) | Ay 1: Yleisavustuksena avustuksen saajan yleishyödylliseen toimintaan (720 248 €) | Ak 8: OmaisOiva-toiminnan valtakunnalliseen koordinointiin  tukemiseen sekä arviointiin ja kehittämiseen. OmaisOiva-toimintaa toteuttavat Omaishoitajaliiton jäsenyhdistykset 
(OmaisOiva) (269 010 €)</t>
        </is>
      </c>
    </row>
    <row r="58">
      <c r="A58" s="2">
        <v>57</v>
      </c>
      <c r="B58" s="2">
        <v>605</v>
      </c>
      <c r="C58" t="inlineStr" s="0">
        <is>
          <t>Kohtaus ry</t>
        </is>
      </c>
      <c r="D58" s="2">
        <v>1061850.0</v>
      </c>
      <c r="E58" s="2">
        <v>1061850.0</v>
      </c>
      <c r="F58" s="2">
        <v>0.0</v>
      </c>
      <c r="G58" s="2">
        <v>100.0</v>
      </c>
      <c r="H58" s="2">
        <v>2</v>
      </c>
      <c r="I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44.6</v>
      </c>
      <c r="H59" s="2">
        <v>3</v>
      </c>
      <c r="I59" t="inlineStr" s="0">
        <is>
          <t>Ay 1: Yleisavustuksena avustuksen saajan yleishyödylliseen toimintaan (581 943 €) | Ak 12: Jäsenjärjestöille kohdistettaviin avustuksiin (49 614 €) | Ak 7: Muistiyhdistysten ja niihin kuuluvien Muistiluotsiasiantuntija- ja tukikeskusten koordinoimiseen  asiantuntijatyön ja vapaaehtoistoiminnan tukemiseen sekä muistisairaiden ja heidän läheistensä puhelinneuvonnan (MuistiNeuvo) koordinoimiseen valtakunnallisesti. (418 145 €)</t>
        </is>
      </c>
    </row>
    <row r="60">
      <c r="A60" s="2">
        <v>59</v>
      </c>
      <c r="B60" s="2">
        <v>285</v>
      </c>
      <c r="C60" t="inlineStr" s="0">
        <is>
          <t>VAILLA VAKINAISTA ASUNTOA RY</t>
        </is>
      </c>
      <c r="D60" s="2">
        <v>1020278.0</v>
      </c>
      <c r="E60" s="2">
        <v>785313.0</v>
      </c>
      <c r="F60" s="2">
        <v>234965.0</v>
      </c>
      <c r="G60" s="2">
        <v>77.0</v>
      </c>
      <c r="H60" s="2">
        <v>3</v>
      </c>
      <c r="I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36.0</v>
      </c>
      <c r="H61" s="2">
        <v>4</v>
      </c>
      <c r="I61" t="inlineStr" s="0">
        <is>
          <t>Ak 2535: Ikääntyneiden mielen hyvinvoinnin lisäämiseen sekä yksinäisyyden kokemusten vähentämiseen vapaaehtoisten osaamista edistämällä (Elinvoimaa) (132 200 €) | 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1398: Jäsenjärjestöille kohdistettaviin avustuksiin (78 000 €)</t>
        </is>
      </c>
    </row>
    <row r="62">
      <c r="A62" s="2">
        <v>61</v>
      </c>
      <c r="B62" s="2">
        <v>1064</v>
      </c>
      <c r="C62" t="inlineStr" s="0">
        <is>
          <t>Tukinainen ry, Tukinainen rf</t>
        </is>
      </c>
      <c r="D62" s="2">
        <v>1002679.0</v>
      </c>
      <c r="E62" s="2">
        <v>636906.0</v>
      </c>
      <c r="F62" s="2">
        <v>365773.0</v>
      </c>
      <c r="G62" s="2">
        <v>63.5</v>
      </c>
      <c r="H62" s="2">
        <v>2</v>
      </c>
      <c r="I62" t="inlineStr" s="0">
        <is>
          <t>Ay 4: Yleisavustuksena avustuksen saajan yleishyödylliseen toimintaan (365 773 €) | Ak 5708: Seksuaalirikosten uhrien sekä heidän läheistensä järjestölähtöiseen tukeen ja oikeuksien neuvontaan yksilö-  ryhmä-  verkko- ja puhelinauttamisen keinoin Helsingissä  Jyväskylässä  Lappeenrannassa ja Rovaniemellä. Ammattilaisten neuvontaan ja koulutukseen. (636 906 €)</t>
        </is>
      </c>
    </row>
    <row r="63">
      <c r="A63" s="2">
        <v>62</v>
      </c>
      <c r="B63" s="2">
        <v>845</v>
      </c>
      <c r="C63" t="inlineStr" s="0">
        <is>
          <t>FOLKHÄLSANS FÖRBUND RF</t>
        </is>
      </c>
      <c r="D63" s="2">
        <v>988944.0</v>
      </c>
      <c r="E63" s="2">
        <v>774000.0</v>
      </c>
      <c r="F63" s="2">
        <v>214944.0</v>
      </c>
      <c r="G63" s="2">
        <v>78.3</v>
      </c>
      <c r="H63" s="2">
        <v>7</v>
      </c>
      <c r="I63" t="inlineStr" s="0">
        <is>
          <t>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Ay 1: Som allmänt understöd för understödstagarens allmännyttiga verksamhet (214 944 €) | Ak 6181: För att stöda funktionsförmågan hos barn med funktionsvariation samt för att stöda familjerna i en utmanande livssituation med hjälp av kursverksamhet (103 889 €)</t>
        </is>
      </c>
    </row>
    <row r="64">
      <c r="A64" s="2">
        <v>63</v>
      </c>
      <c r="B64" s="2">
        <v>114</v>
      </c>
      <c r="C64" t="inlineStr" s="0">
        <is>
          <t>NICEHEARTS RY</t>
        </is>
      </c>
      <c r="D64" s="2">
        <v>984433.0</v>
      </c>
      <c r="E64" s="2">
        <v>984433.0</v>
      </c>
      <c r="F64" s="2">
        <v>0.0</v>
      </c>
      <c r="G64" s="2">
        <v>100.0</v>
      </c>
      <c r="H64" s="2">
        <v>3</v>
      </c>
      <c r="I64" t="inlineStr" s="0">
        <is>
          <t>Ak 10386: Maahanmuuttajataustaisten naisten ja heidän lähiyhteisöjensä hyvinvoinnin  osallisuuden ja toimijuuden edistämiseen Naapuriäiti-toiminnan avulla (353 780 €) | 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74.2</v>
      </c>
      <c r="H65" s="2">
        <v>4</v>
      </c>
      <c r="I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t>
        </is>
      </c>
    </row>
    <row r="66">
      <c r="A66" s="2">
        <v>65</v>
      </c>
      <c r="B66" s="2">
        <v>748</v>
      </c>
      <c r="C66" t="inlineStr" s="0">
        <is>
          <t>TAMPEREEN ENSI- JA TURVAKOTI RY</t>
        </is>
      </c>
      <c r="D66" s="2">
        <v>982077.0</v>
      </c>
      <c r="E66" s="2">
        <v>982077.0</v>
      </c>
      <c r="F66" s="2">
        <v>0.0</v>
      </c>
      <c r="G66" s="2">
        <v>100.0</v>
      </c>
      <c r="H66" s="2">
        <v>4</v>
      </c>
      <c r="I66" t="inlineStr" s="0">
        <is>
          <t>Ak 10758: Kodin ulkopuoliseen väkivaltaan  syyllistyneiden tai syyllistymisriskissä olevien väkivaltaisen käyttäytymisen vähentämiseen ja ehkäisemiseen yksilöllisen asiakastyön ja verkostotyön avulla (Aggredi Pirkanmaa) (241 500 €) | 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t>
        </is>
      </c>
    </row>
    <row r="67">
      <c r="A67" s="2">
        <v>66</v>
      </c>
      <c r="B67" s="2">
        <v>1008</v>
      </c>
      <c r="C67" t="inlineStr" s="0">
        <is>
          <t>VIOLA - väkivallasta vapaaksi ry</t>
        </is>
      </c>
      <c r="D67" s="2">
        <v>970183.0</v>
      </c>
      <c r="E67" s="2">
        <v>687459.0</v>
      </c>
      <c r="F67" s="2">
        <v>282724.0</v>
      </c>
      <c r="G67" s="2">
        <v>70.9</v>
      </c>
      <c r="H67" s="2">
        <v>4</v>
      </c>
      <c r="I67" t="inlineStr" s="0">
        <is>
          <t>Ay 3244: Yleisavustuksena avustuksen saajan yleishyödylliseen toimintaan (282 724 €) | Ak 1: Yksilö-  pari-  perhe- ja ryhmämuotoiseen avokriisityöhön perhe- ja lähisuhdeväkivallan uhrien ja tekijöiden kanssa (Lähisuhdeväkivaltatyön avopalvelut Etelä-Savon hyvinvointialueella) (160 634 €) | Ak 3: Miesten hyvinvoinnin lisäämiseen ja vaikeuksien ennaltaehkäisemiseen ryhmä- ja yksilötoiminnan keinoin (Miesten asema -toiminta) sekä pikkulapsiperheiden hyvinvoinnin edistämiseen ja vaikeuksien ennaltaehkäisyyn (Jalkautuva vanhemmuusasema -toiminta) (228 837 €)</t>
        </is>
      </c>
    </row>
    <row r="68">
      <c r="A68" s="2">
        <v>67</v>
      </c>
      <c r="B68" s="2">
        <v>611</v>
      </c>
      <c r="C68" t="inlineStr" s="0">
        <is>
          <t>TURUN ENSI- JA TURVAKOTI RY</t>
        </is>
      </c>
      <c r="D68" s="2">
        <v>968097.0</v>
      </c>
      <c r="E68" s="2">
        <v>968097.0</v>
      </c>
      <c r="F68" s="2">
        <v>0.0</v>
      </c>
      <c r="G68" s="2">
        <v>100.0</v>
      </c>
      <c r="H68" s="2">
        <v>4</v>
      </c>
      <c r="I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t>
        </is>
      </c>
    </row>
    <row r="69">
      <c r="A69" s="2">
        <v>68</v>
      </c>
      <c r="B69" s="2">
        <v>349</v>
      </c>
      <c r="C69" t="inlineStr" s="0">
        <is>
          <t>LIHASTAUTILIITTO RY</t>
        </is>
      </c>
      <c r="D69" s="2">
        <v>948776.0</v>
      </c>
      <c r="E69" s="2">
        <v>252351.0</v>
      </c>
      <c r="F69" s="2">
        <v>696425.0</v>
      </c>
      <c r="G69" s="2">
        <v>26.6</v>
      </c>
      <c r="H69" s="2">
        <v>4</v>
      </c>
      <c r="I69" t="inlineStr" s="0">
        <is>
          <t>Ay 1: Yleisavustuksena avustuksen saajan yleishyödylliseen toimintaan (696 425 €) | Ak 14: Jäsenjärjestöille kohdistettaviin avustuksiin (10 000 €) | Ak 7: Lihastautia sairastavien henkilöiden yhdenvertaisuuden ja osallisuuden edistämiseen koulu- ja työelämässä. Toimintamuotoina yksilöllinen neuvonta  ryhmät  tapahtumat  viestintä  vaikuttamistyö ja oikeuksien valvonta. (60 638 €)</t>
        </is>
      </c>
    </row>
    <row r="70">
      <c r="A70" s="2">
        <v>69</v>
      </c>
      <c r="B70" s="2">
        <v>1207</v>
      </c>
      <c r="C70" t="inlineStr" s="0">
        <is>
          <t>ADHD-LIITTO RY</t>
        </is>
      </c>
      <c r="D70" s="2">
        <v>941242.0</v>
      </c>
      <c r="E70" s="2">
        <v>387871.0</v>
      </c>
      <c r="F70" s="2">
        <v>553371.0</v>
      </c>
      <c r="G70" s="2">
        <v>41.2</v>
      </c>
      <c r="H70" s="2">
        <v>4</v>
      </c>
      <c r="I70" t="inlineStr" s="0">
        <is>
          <t>Ak 7: Jäsenjärjestöille kohdistettaviin avustuksiin (18 800 €) | 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t>
        </is>
      </c>
    </row>
    <row r="71">
      <c r="A71" s="2">
        <v>70</v>
      </c>
      <c r="B71" s="2">
        <v>637</v>
      </c>
      <c r="C71" t="inlineStr" s="0">
        <is>
          <t>Liikehäiriösairauksien liitto ry</t>
        </is>
      </c>
      <c r="D71" s="2">
        <v>933165.0</v>
      </c>
      <c r="E71" s="2">
        <v>297000.0</v>
      </c>
      <c r="F71" s="2">
        <v>636165.0</v>
      </c>
      <c r="G71" s="2">
        <v>31.8</v>
      </c>
      <c r="H71" s="2">
        <v>3</v>
      </c>
      <c r="I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100.0</v>
      </c>
      <c r="H72" s="2">
        <v>2</v>
      </c>
      <c r="I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70.7</v>
      </c>
      <c r="H73" s="2">
        <v>6</v>
      </c>
      <c r="I73" t="inlineStr" s="0">
        <is>
          <t>Ak 4: Vapaaehtois- ja kansalaistoiminnan koordinointiin eriarvoisuuden vähentämiseksi ja vapaaehtoisten osallisuuden ja toimijuuden vahvistamiseksi (2026) (70 000 €) | Ak 12: Suur-Matinkylän alueen asukkaiden elämänlaadun ja osallisuuden vahvistamiseen  yksinäisyyden kokemuksen vähentämiseen sekä alueellisen turvallisuuden edistämiseen (Naapuruustalo Matinkylä) (125 631 €) | Ak 10: Pasilan alueen asukkaiden psyykkisen  fyysisen ja sosiaalisen hyvinvoinnin sekä alueellisen turvallisuuden ja hyvinvoinnin edistämiseen (Naapuruustalo Pasila) (179 437 €)</t>
        </is>
      </c>
    </row>
    <row r="74">
      <c r="A74" s="2">
        <v>73</v>
      </c>
      <c r="B74" s="2">
        <v>712</v>
      </c>
      <c r="C74" t="inlineStr" s="0">
        <is>
          <t>KUOPION ENSIKOTIYHDISTYS RY</t>
        </is>
      </c>
      <c r="D74" s="2">
        <v>912479.0</v>
      </c>
      <c r="E74" s="2">
        <v>874919.0</v>
      </c>
      <c r="F74" s="2">
        <v>37560.0</v>
      </c>
      <c r="G74" s="2">
        <v>95.9</v>
      </c>
      <c r="H74" s="2">
        <v>4</v>
      </c>
      <c r="I74" t="inlineStr" s="0">
        <is>
          <t>Ak 10302: Perheen tukemiseen eroa harkitessa tai erottaessa sekä lähisuhdeväkivallan ennaltaehkäisyyn  loppumiseen ja kokemuksista toipumiseen tarjoamalla tukea avopalvelun keinoin Pohjois-Savon alueella (Ero- ja väkivaltatyön avopalvelu) (262 119 €) | 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79.5</v>
      </c>
      <c r="H75" s="2">
        <v>5</v>
      </c>
      <c r="I75" t="inlineStr" s="0">
        <is>
          <t>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77.5</v>
      </c>
      <c r="H76" s="2">
        <v>4</v>
      </c>
      <c r="I76" t="inlineStr" s="0">
        <is>
          <t>Ak 10413: Kriisiytymisuhassa olevien lasten ja perheiden tukeen strukturoidun lasten leiritoiminnan avulla (Näe hyvä mussa -toiminta) (207 270 €) | Ak 2: Lasten lomatoimintaan (Parasta Lapsille ry ja paikallisyhdistykset) sekä valtakunnalliseen lasten ja perheiden toimintaan terveyden ja hyvinvoinnin edistämiseksi (483 372 €) | Ay 1: Yleisavustuksena avustuksen saajan yleishyödylliseen toimintaan (203 608 €)</t>
        </is>
      </c>
    </row>
    <row r="77">
      <c r="A77" s="2">
        <v>76</v>
      </c>
      <c r="B77" s="2">
        <v>242</v>
      </c>
      <c r="C77" t="inlineStr" s="0">
        <is>
          <t>Kuntoutussäätiö sr</t>
        </is>
      </c>
      <c r="D77" s="2">
        <v>902012.0</v>
      </c>
      <c r="E77" s="2">
        <v>421202.0</v>
      </c>
      <c r="F77" s="2">
        <v>480810.0</v>
      </c>
      <c r="G77" s="2">
        <v>46.7</v>
      </c>
      <c r="H77" s="2">
        <v>3</v>
      </c>
      <c r="I77" t="inlineStr" s="0">
        <is>
          <t>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 | 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t>
        </is>
      </c>
    </row>
    <row r="78">
      <c r="A78" s="2">
        <v>77</v>
      </c>
      <c r="B78" s="2">
        <v>419</v>
      </c>
      <c r="C78" t="inlineStr" s="0">
        <is>
          <t>MANNERHEIMIN LASTENSUOJELULIITON UUDENMAAN PIIRI</t>
        </is>
      </c>
      <c r="D78" s="2">
        <v>849169.0</v>
      </c>
      <c r="E78" s="2">
        <v>849169.0</v>
      </c>
      <c r="F78" s="2">
        <v>0.0</v>
      </c>
      <c r="G78" s="2">
        <v>100.0</v>
      </c>
      <c r="H78" s="2">
        <v>3</v>
      </c>
      <c r="I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11317: Lapsiperheiden ennaltaehkäisevän tuen ja osallisuuden vahvistamiseen järjestämällä kaupungin ja järjestöjen yhdessä johtamaa ja ylläpitämää avointa kohtaamispaikkatoimintaa sekä kohtaamispaikkatoiminnan kehittämiseen Uudellamaalla. (199 080 €) | Ak 10194: Haavoittuvassa asemassa olevien lapsiperheiden vanhempien vanhemmuuden tukemiseen ammatillisesti ohjatun avoimen ryhmätoiminnan  monikulttuurisen ryhmätoiminnan  etsivän perhetyön ja yksilöohjauksen avulla. (204 750 €)</t>
        </is>
      </c>
    </row>
    <row r="79">
      <c r="A79" s="2">
        <v>78</v>
      </c>
      <c r="B79" s="2">
        <v>438</v>
      </c>
      <c r="C79" t="inlineStr" s="0">
        <is>
          <t>Kuurojen Palvelusäätiö (Dövas Servicestiftelse) sr</t>
        </is>
      </c>
      <c r="D79" s="2">
        <v>836900.0</v>
      </c>
      <c r="E79" s="2">
        <v>744500.0</v>
      </c>
      <c r="F79" s="2">
        <v>92400.0</v>
      </c>
      <c r="G79" s="2">
        <v>89.0</v>
      </c>
      <c r="H79" s="2">
        <v>4</v>
      </c>
      <c r="I79" t="inlineStr" s="0">
        <is>
          <t>Ak 12: Pitkäaikaissairaiden kuurojen  kuurosokeiden ja heidän läheistensä viittomakieliseen vertaisryhmätoimintaan  terveyteen ja hyvinvointiin liittyvään tukeen ja tiedonsaantiin sekä Viittomakielisen Auttavan Linjan toteuttamiseen (Passi) (87 150 €) | Ay 21: Yleisavustuksena avustuksen saajan yleishyödylliseen toimintaan (92 400 €) | 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t>
        </is>
      </c>
    </row>
    <row r="80">
      <c r="A80" s="2">
        <v>79</v>
      </c>
      <c r="B80" s="2">
        <v>946</v>
      </c>
      <c r="C80" t="inlineStr" s="0">
        <is>
          <t>SATEENKAARIPERHEET RY</t>
        </is>
      </c>
      <c r="D80" s="2">
        <v>836377.0</v>
      </c>
      <c r="E80" s="2">
        <v>611593.0</v>
      </c>
      <c r="F80" s="2">
        <v>224784.0</v>
      </c>
      <c r="G80" s="2">
        <v>73.1</v>
      </c>
      <c r="H80" s="2">
        <v>4</v>
      </c>
      <c r="I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100.0</v>
      </c>
      <c r="H81" s="2">
        <v>4</v>
      </c>
      <c r="I81" t="inlineStr" s="0">
        <is>
          <t>Ak 7: Erityistä tukea tarvitsevien tyttöjen  nuorten naisten ja sukupuoli-identiteettiään pohtivien hyvinvoinnin ja osallisuuden tukemiseen  seksuaaliterveyden edistämiseen sekä seksuaaliväkivaltatyöhön (220 000 €) | Ak 4087: Kodin ulkopuoliseen väkivaltaan syyllistyneiden tai syyllistymisriskissä olevien väkivaltaisen käyttäytymisen vähentämiseen ja ehkäisemiseen yksilöllisen asiakastyön ja verkostotyön avulla (Aggredi Kuopio) (155 000 €) | Ak 3: Maahanmuuttajien osallisuutta  yhteisöllisyyttä ja kaksisuuntaista kotoutumista edistävään toimintaan (Kompassi) (294 052 €)</t>
        </is>
      </c>
    </row>
    <row r="82">
      <c r="A82" s="2">
        <v>81</v>
      </c>
      <c r="B82" s="2">
        <v>895</v>
      </c>
      <c r="C82" t="inlineStr" s="0">
        <is>
          <t>SYÖMISHÄIRIÖLIITTO - SYLI RY</t>
        </is>
      </c>
      <c r="D82" s="2">
        <v>807680.0</v>
      </c>
      <c r="E82" s="2">
        <v>470000.0</v>
      </c>
      <c r="F82" s="2">
        <v>337680.0</v>
      </c>
      <c r="G82" s="2">
        <v>58.2</v>
      </c>
      <c r="H82" s="2">
        <v>2</v>
      </c>
      <c r="I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77.9</v>
      </c>
      <c r="H83" s="2">
        <v>2</v>
      </c>
      <c r="I83" t="inlineStr" s="0">
        <is>
          <t>Ay 2675: Yleisavustuksena avustuksen saajan yleishyödylliseen toimintaan (178 453 €) | Ak 1: Naisten ja nuorten naisten käyttämän väkivallan ja ylisukupolvisen väkivallan ehkäisyyn lähi- ja verkkotoimintana  yksilö-  pariskunta- ja ryhmätoiminnan sekä ammattilaisille suunnatun toiminnan keinoin. Kohderyhmät 15 ikävuodesta alkaen. (627 770 €)</t>
        </is>
      </c>
    </row>
    <row r="84">
      <c r="A84" s="2">
        <v>83</v>
      </c>
      <c r="B84" s="2">
        <v>1079</v>
      </c>
      <c r="C84" t="inlineStr" s="0">
        <is>
          <t>PSORIASISLIITTO RY</t>
        </is>
      </c>
      <c r="D84" s="2">
        <v>806010.0</v>
      </c>
      <c r="E84" s="2">
        <v>259000.0</v>
      </c>
      <c r="F84" s="2">
        <v>547010.0</v>
      </c>
      <c r="G84" s="2">
        <v>32.1</v>
      </c>
      <c r="H84" s="2">
        <v>3</v>
      </c>
      <c r="I84" t="inlineStr" s="0">
        <is>
          <t>Ak 16: Jäsenjärjestöille kohdistettaviin avustuksiin (49 000 €)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Ay 1: Yleisavustuksena avustuksen saajan yleishyödylliseen toimintaan (547 010 €)</t>
        </is>
      </c>
    </row>
    <row r="85">
      <c r="A85" s="2">
        <v>84</v>
      </c>
      <c r="B85" s="2">
        <v>497</v>
      </c>
      <c r="C85" t="inlineStr" s="0">
        <is>
          <t>Hyvän mielen talo ry</t>
        </is>
      </c>
      <c r="D85" s="2">
        <v>803638.0</v>
      </c>
      <c r="E85" s="2">
        <v>540550.0</v>
      </c>
      <c r="F85" s="2">
        <v>263088.0</v>
      </c>
      <c r="G85" s="2">
        <v>67.3</v>
      </c>
      <c r="H85" s="2">
        <v>4</v>
      </c>
      <c r="I85" t="inlineStr" s="0">
        <is>
          <t>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 | Ay 1998: Yleisavustuksena avustuksen saajan yleishyödylliseen toimintaan (263 088 €)</t>
        </is>
      </c>
    </row>
    <row r="86">
      <c r="A86" s="2">
        <v>85</v>
      </c>
      <c r="B86" s="2">
        <v>414</v>
      </c>
      <c r="C86" t="inlineStr" s="0">
        <is>
          <t>VUOLLE SETLEMENTTI RY</t>
        </is>
      </c>
      <c r="D86" s="2">
        <v>802817.0</v>
      </c>
      <c r="E86" s="2">
        <v>802817.0</v>
      </c>
      <c r="F86" s="2">
        <v>0.0</v>
      </c>
      <c r="G86" s="2">
        <v>100.0</v>
      </c>
      <c r="H86" s="2">
        <v>5</v>
      </c>
      <c r="I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100.0</v>
      </c>
      <c r="H87" s="2">
        <v>4</v>
      </c>
      <c r="I87" t="inlineStr" s="0">
        <is>
          <t>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 | 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t>
        </is>
      </c>
    </row>
    <row r="88">
      <c r="A88" s="2">
        <v>87</v>
      </c>
      <c r="B88" s="2">
        <v>887</v>
      </c>
      <c r="C88" t="inlineStr" s="0">
        <is>
          <t>MARTTALIITTO RY</t>
        </is>
      </c>
      <c r="D88" s="2">
        <v>775488.0</v>
      </c>
      <c r="E88" s="2">
        <v>775488.0</v>
      </c>
      <c r="F88" s="2">
        <v>0.0</v>
      </c>
      <c r="G88" s="2">
        <v>100.0</v>
      </c>
      <c r="H88" s="2">
        <v>3</v>
      </c>
      <c r="I88" t="inlineStr" s="0">
        <is>
          <t>Ak 4: Päihde- ja mielenterveyskuntoutujien sekä rikosseuraamusasiakkaiden arjen ja sosiaalisten taitojen vahvistaminen marttapiirien asiantuntijoiden tarjoaman kotitalousneuvonnan sekä Marttaliiton tuen ja hallinnon avulla (Arki sujuvaksi) (508 873 €) | Ak 9554: Ikäihmisten arjen tukemiseen ja hyvinvoinnin edistämiseen marttapiirien koordinoimalla ja Marttaliiton hallinnoimalla vapaaehtoistoiminnalla (VILPPU) (107 071 €) | Ak 2485: Pikkulapsiperheiden arjen taitojen ja hyvinvoinnin vahvistamiseen marttapiirien asiantuntijoiden tarjoamalla kotitalousneuvonnalla ja Marttaliiton piireille tarjoamalla hallinnollisella tuella (Lapsiperheiden arjen tukeminen) (159 544 €)</t>
        </is>
      </c>
    </row>
    <row r="89">
      <c r="A89" s="2">
        <v>88</v>
      </c>
      <c r="B89" s="2">
        <v>1023</v>
      </c>
      <c r="C89" t="inlineStr" s="0">
        <is>
          <t>Keliakialiitto ry</t>
        </is>
      </c>
      <c r="D89" s="2">
        <v>768178.0</v>
      </c>
      <c r="E89" s="2">
        <v>203093.0</v>
      </c>
      <c r="F89" s="2">
        <v>565085.0</v>
      </c>
      <c r="G89" s="2">
        <v>26.4</v>
      </c>
      <c r="H89" s="2">
        <v>3</v>
      </c>
      <c r="I89" t="inlineStr" s="0">
        <is>
          <t>Ak 2393: Jäsenjärjestöille kohdistettaviin avustuksiin (30 000 €)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Ay 1: Yleisavustuksena avustuksen saajan yleishyödylliseen toimintaan (565 085 €)</t>
        </is>
      </c>
    </row>
    <row r="90">
      <c r="A90" s="2">
        <v>89</v>
      </c>
      <c r="B90" s="2">
        <v>493</v>
      </c>
      <c r="C90" t="inlineStr" s="0">
        <is>
          <t>Sovatek säätiö sr</t>
        </is>
      </c>
      <c r="D90" s="2">
        <v>758000.0</v>
      </c>
      <c r="E90" s="2">
        <v>758000.0</v>
      </c>
      <c r="F90" s="2">
        <v>0.0</v>
      </c>
      <c r="G90" s="2">
        <v>100.0</v>
      </c>
      <c r="H90" s="2">
        <v>3</v>
      </c>
      <c r="I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100.0</v>
      </c>
      <c r="H91" s="2">
        <v>4</v>
      </c>
      <c r="I91" t="inlineStr" s="0">
        <is>
          <t>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100.0</v>
      </c>
      <c r="H92" s="2">
        <v>4</v>
      </c>
      <c r="I92" t="inlineStr" s="0">
        <is>
          <t>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75.1</v>
      </c>
      <c r="H93" s="2">
        <v>3</v>
      </c>
      <c r="I93" t="inlineStr" s="0">
        <is>
          <t>Ay 1: Yleisavustuksena avustuksen saajan yleishyödylliseen toimintaan (186 322 €) | Ak 11220: Romaninuorten tukemiseen omien voimavarojen ja vahvuuksien löytämiseksi jalkautuvan työn  yksilötyön ja ryhmämuotoisen toiminnan keinoin (Terne Apre - Nuorten vuoro) (184 800 €) | 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t>
        </is>
      </c>
    </row>
    <row r="94">
      <c r="A94" s="2">
        <v>93</v>
      </c>
      <c r="B94" s="2">
        <v>1126</v>
      </c>
      <c r="C94" t="inlineStr" s="0">
        <is>
          <t>SUOMEN SOVITTELUFOORUMI RY</t>
        </is>
      </c>
      <c r="D94" s="2">
        <v>744438.0</v>
      </c>
      <c r="E94" s="2">
        <v>744438.0</v>
      </c>
      <c r="F94" s="2">
        <v>0.0</v>
      </c>
      <c r="G94" s="2">
        <v>100.0</v>
      </c>
      <c r="H94" s="2">
        <v>2</v>
      </c>
      <c r="I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53.3</v>
      </c>
      <c r="H95" s="2">
        <v>4</v>
      </c>
      <c r="I95" t="inlineStr" s="0">
        <is>
          <t>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 | Ak 3: Huumeita käyttävien henkilöiden läheisten  huumeita käyttävien ja toipuvien vapaaehtois- ja vertaistoiminnalla toteuttavaan matalan kynnyksen tukeen sekä vapaaehtois- ja vertaistoiminnan koordinaatioon (170 000 €)</t>
        </is>
      </c>
    </row>
    <row r="96">
      <c r="A96" s="2">
        <v>95</v>
      </c>
      <c r="B96" s="2">
        <v>362</v>
      </c>
      <c r="C96" t="inlineStr" s="0">
        <is>
          <t>FDUV, förbundet för personer med utvecklingsstörning eller annan intellektuell funktionsnedsättning</t>
        </is>
      </c>
      <c r="D96" s="2">
        <v>730038.0</v>
      </c>
      <c r="E96" s="2">
        <v>394243.0</v>
      </c>
      <c r="F96" s="2">
        <v>335795.0</v>
      </c>
      <c r="G96" s="2">
        <v>54.0</v>
      </c>
      <c r="H96" s="2">
        <v>4</v>
      </c>
      <c r="I96" t="inlineStr" s="0">
        <is>
          <t>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3333: För att stöda självbestämmande  medvetande av rättigheter och inflytande i samhället hos svenskspråkiga personer med intellektuell funktionsnedsättning 
(Steg för steg - för ett självständigt liv) (98 071 €) | Ak 10171: För stöd till familjer med barn  unga eller vuxna med intellektuell funktionsnedsättning med hjälp av kamratstöd  lokal förenings- och frivilligverksamhet samt genom att främja delaktighet i serviceprocesser (139 732 €)</t>
        </is>
      </c>
    </row>
    <row r="97">
      <c r="A97" s="2">
        <v>96</v>
      </c>
      <c r="B97" s="2">
        <v>601</v>
      </c>
      <c r="C97" t="inlineStr" s="0">
        <is>
          <t>SAMI SOSTER RY</t>
        </is>
      </c>
      <c r="D97" s="2">
        <v>728355.0</v>
      </c>
      <c r="E97" s="2">
        <v>425591.0</v>
      </c>
      <c r="F97" s="2">
        <v>302764.0</v>
      </c>
      <c r="G97" s="2">
        <v>58.4</v>
      </c>
      <c r="H97" s="2">
        <v>3</v>
      </c>
      <c r="I97" t="inlineStr" s="0">
        <is>
          <t>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Ay 4: Yleisavustuksena avustuksen saajan yleishyödylliseen toimintaan (302 764 €)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29.4</v>
      </c>
      <c r="H98" s="2">
        <v>3</v>
      </c>
      <c r="I98" t="inlineStr" s="0">
        <is>
          <t>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 | Ay 1: Yleisavustuksena avustuksen saajan yleishyödylliseen toimintaan (511 638 €)</t>
        </is>
      </c>
    </row>
    <row r="99">
      <c r="A99" s="2">
        <v>98</v>
      </c>
      <c r="B99" s="2">
        <v>474</v>
      </c>
      <c r="C99" t="inlineStr" s="0">
        <is>
          <t>FINFAMI - UUSIMAA RY</t>
        </is>
      </c>
      <c r="D99" s="2">
        <v>719426.0</v>
      </c>
      <c r="E99" s="2">
        <v>719426.0</v>
      </c>
      <c r="F99" s="2">
        <v>0.0</v>
      </c>
      <c r="G99" s="2">
        <v>100.0</v>
      </c>
      <c r="H99" s="2">
        <v>1</v>
      </c>
      <c r="I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28.6</v>
      </c>
      <c r="H100" s="2">
        <v>3</v>
      </c>
      <c r="I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50.6</v>
      </c>
      <c r="H101" s="2">
        <v>2</v>
      </c>
      <c r="I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100.0</v>
      </c>
      <c r="H102" s="2">
        <v>4</v>
      </c>
      <c r="I102" t="inlineStr" s="0">
        <is>
          <t>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 | Ak 2642: Pakolaistaustaisten ja muista vastaavista lähtökohdista Suomeen muuttaneiden ihmisten mielenterveyttä edistävien ryhmätoimintojen kehittämiseen  toteuttamiseen ja levittämiseen (Serene-toiminta) (153 761 €) | Ak 1: Järjestölähtöiseen kriisi- ja mielenterveystyöhön vaikeissa elämäntilanteissa oleville tarjoamalla matalan kynnyksen keskusteluapua  ammatillisesti ohjattuja ryhmiä ja tukihenkilötoimintaa (MIELI kriisikeskus Turku) (299 250 €)</t>
        </is>
      </c>
    </row>
    <row r="103">
      <c r="A103" s="2">
        <v>102</v>
      </c>
      <c r="B103" s="2">
        <v>973</v>
      </c>
      <c r="C103" t="inlineStr" s="0">
        <is>
          <t>STOP HUUMEILLE RY</t>
        </is>
      </c>
      <c r="D103" s="2">
        <v>687261.0</v>
      </c>
      <c r="E103" s="2">
        <v>467460.0</v>
      </c>
      <c r="F103" s="2">
        <v>219801.0</v>
      </c>
      <c r="G103" s="2">
        <v>68.0</v>
      </c>
      <c r="H103" s="2">
        <v>3</v>
      </c>
      <c r="I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20.7</v>
      </c>
      <c r="H104" s="2">
        <v>3</v>
      </c>
      <c r="I104" t="inlineStr" s="0">
        <is>
          <t>Ak 3: Ulkomaalaistaustaisten iäkkäiden arjen tukemiseen paikallisyhdistysten ikävertaisten ja yhteistoiminnan avulla (Moninaisuustyön Teemme yhdessä toiminta) (88 000 €) | Ay 1: Yleisavustuksena avustuksen saajan yleishyödylliseen toimintaan (537 590 €) | Ak 4: Jäsenjärjestöille kohdistettaviin avustuksiin (52 500 €)</t>
        </is>
      </c>
    </row>
    <row r="105">
      <c r="A105" s="2">
        <v>104</v>
      </c>
      <c r="B105" s="2">
        <v>420</v>
      </c>
      <c r="C105" t="inlineStr" s="0">
        <is>
          <t>Mielenterveysomaiset Pirkanmaa - FinFami ry</t>
        </is>
      </c>
      <c r="D105" s="2">
        <v>676800.0</v>
      </c>
      <c r="E105" s="2">
        <v>676800.0</v>
      </c>
      <c r="F105" s="2">
        <v>0.0</v>
      </c>
      <c r="G105" s="2">
        <v>100.0</v>
      </c>
      <c r="H105" s="2">
        <v>1</v>
      </c>
      <c r="I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31.5</v>
      </c>
      <c r="H106" s="2">
        <v>4</v>
      </c>
      <c r="I106" t="inlineStr" s="0">
        <is>
          <t>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Ay 1: Yleisavustuksena avustuksen saajan yleishyödylliseen toimintaan (459 263 €) | Ak 5: Jäsenjärjestöille kohdistettaviin avustuksiin (38 850 €)</t>
        </is>
      </c>
    </row>
    <row r="107">
      <c r="A107" s="2">
        <v>106</v>
      </c>
      <c r="B107" s="2">
        <v>959</v>
      </c>
      <c r="C107" t="inlineStr" s="0">
        <is>
          <t>Kasper - Kasvatus- ja perheneuvonta ry</t>
        </is>
      </c>
      <c r="D107" s="2">
        <v>661180.0</v>
      </c>
      <c r="E107" s="2">
        <v>473755.0</v>
      </c>
      <c r="F107" s="2">
        <v>187425.0</v>
      </c>
      <c r="G107" s="2">
        <v>71.7</v>
      </c>
      <c r="H107" s="2">
        <v>3</v>
      </c>
      <c r="I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46.4</v>
      </c>
      <c r="H108" s="2">
        <v>2</v>
      </c>
      <c r="I108" t="inlineStr" s="0">
        <is>
          <t>Ak 12056: Rikosseuraamuksen piirissä  asunnottomana tai päihderiippuvuuden kanssa elävien naisten hyvinvoinnin edistämiseen vertaisryhmätoiminnan ja ammattilaisten osaamisen lisäämisen avulla (305 000 €) | Ay 1: Yleisavustuksena avustuksen saajan yleishyödylliseen toimintaan (352 800 €)</t>
        </is>
      </c>
    </row>
    <row r="109">
      <c r="A109" s="2">
        <v>108</v>
      </c>
      <c r="B109" s="2">
        <v>269</v>
      </c>
      <c r="C109" t="inlineStr" s="0">
        <is>
          <t>KOKKOLAN ENSI- JA TURVAKOTI RY</t>
        </is>
      </c>
      <c r="D109" s="2">
        <v>644172.0</v>
      </c>
      <c r="E109" s="2">
        <v>644172.0</v>
      </c>
      <c r="F109" s="2">
        <v>0.0</v>
      </c>
      <c r="G109" s="2">
        <v>100.0</v>
      </c>
      <c r="H109" s="2">
        <v>3</v>
      </c>
      <c r="I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42.0</v>
      </c>
      <c r="H110" s="2">
        <v>4</v>
      </c>
      <c r="I110" t="inlineStr" s="0">
        <is>
          <t>Ak 2: Sijaiskotinuorten hyvinvoinnin lisäämiseen vertaistukitoiminnan avulla (92 031 €) | Ay 1: Yleisavustuksena avustuksen saajan yleishyödylliseen toimintaan (372 797 €) | Ak 2836: Ikäihmisiä hoitavien perhehoitajien järjestölähtöiseen tukeen ja edunvalvontaan (Tunne ja turvaa ikäihmisten hyvä perhehoito) (153 596 €)</t>
        </is>
      </c>
    </row>
    <row r="111">
      <c r="A111" s="2">
        <v>110</v>
      </c>
      <c r="B111" s="2">
        <v>354</v>
      </c>
      <c r="C111" t="inlineStr" s="0">
        <is>
          <t>ERITYISHUOLTOJÄRJESTÖJEN LIITTO EHJÄ RY</t>
        </is>
      </c>
      <c r="D111" s="2">
        <v>642251.0</v>
      </c>
      <c r="E111" s="2">
        <v>445432.0</v>
      </c>
      <c r="F111" s="2">
        <v>196819.0</v>
      </c>
      <c r="G111" s="2">
        <v>69.4</v>
      </c>
      <c r="H111" s="2">
        <v>4</v>
      </c>
      <c r="I111" t="inlineStr" s="0">
        <is>
          <t>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 | Ak 2: Maahanmuuttajataustaisten nuorten ja alaikäisinä yksintulleiden turvapaikanhakijataustaisten nuorten tukemiseen ryhmätoiminnan  leirien  retkien  tapahtumien ja yksilöllisen ohjauksen avulla (Maahanmuuttajanuorten tukitoiminta) (170 595 €)</t>
        </is>
      </c>
    </row>
    <row r="112">
      <c r="A112" s="2">
        <v>111</v>
      </c>
      <c r="B112" s="2">
        <v>1124</v>
      </c>
      <c r="C112" t="inlineStr" s="0">
        <is>
          <t>ESPOON JA KAUNIAISTEN MUISTIYHDISTYS RY</t>
        </is>
      </c>
      <c r="D112" s="2">
        <v>638625.0</v>
      </c>
      <c r="E112" s="2">
        <v>638625.0</v>
      </c>
      <c r="F112" s="2">
        <v>0.0</v>
      </c>
      <c r="G112" s="2">
        <v>100.0</v>
      </c>
      <c r="H112" s="2">
        <v>1</v>
      </c>
      <c r="I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27.2</v>
      </c>
      <c r="H113" s="2">
        <v>2</v>
      </c>
      <c r="I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100.0</v>
      </c>
      <c r="H114" s="2">
        <v>2</v>
      </c>
      <c r="I114" t="inlineStr" s="0">
        <is>
          <t>Ak 11274: Kiusaamista kokeneiden lasten ja nuorten tukemiseen sekä kiusaamisen jälkihoitoon liittyvän osaamisen lisäämiseen. Selviytyjät-vertaisryhmien järjestämiseen kiusaamista kokeneille noin 12–21-vuotiaille nuorille. (315 672 €) | 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t>
        </is>
      </c>
    </row>
    <row r="115">
      <c r="A115" s="2">
        <v>114</v>
      </c>
      <c r="B115" s="2">
        <v>921</v>
      </c>
      <c r="C115" t="inlineStr" s="0">
        <is>
          <t>AUTA LASTA RY</t>
        </is>
      </c>
      <c r="D115" s="2">
        <v>635432.0</v>
      </c>
      <c r="E115" s="2">
        <v>482240.0</v>
      </c>
      <c r="F115" s="2">
        <v>153192.0</v>
      </c>
      <c r="G115" s="2">
        <v>75.9</v>
      </c>
      <c r="H115" s="2">
        <v>3</v>
      </c>
      <c r="I115" t="inlineStr" s="0">
        <is>
          <t>C 13648: Euroopan sosiaalirahasto plussan (ESR+) hankkeen "Järjestövarikko 2.0" osarahoitukseen järjestölle (2026-2028) (153 192 €) | 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t>
        </is>
      </c>
    </row>
    <row r="116">
      <c r="A116" s="2">
        <v>115</v>
      </c>
      <c r="B116" s="2">
        <v>1074</v>
      </c>
      <c r="C116" t="inlineStr" s="0">
        <is>
          <t>A-KILTOJEN LIITTO RY</t>
        </is>
      </c>
      <c r="D116" s="2">
        <v>632703.0</v>
      </c>
      <c r="E116" s="2">
        <v>27663.0</v>
      </c>
      <c r="F116" s="2">
        <v>605040.0</v>
      </c>
      <c r="G116" s="2">
        <v>4.4</v>
      </c>
      <c r="H116" s="2">
        <v>2</v>
      </c>
      <c r="I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263996.0</v>
      </c>
      <c r="G117" s="2">
        <v>58.0</v>
      </c>
      <c r="H117" s="2">
        <v>5</v>
      </c>
      <c r="I117" t="inlineStr" s="0">
        <is>
          <t>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57.8</v>
      </c>
      <c r="H118" s="2">
        <v>2</v>
      </c>
      <c r="I118" t="inlineStr" s="0">
        <is>
          <t>Ay 1: Yleisavustuksena avustuksen saajan yleishyödylliseen toimintaan (263 088 €) | Ak 2287: Psyykkistä kuormittuneisuutta  lieviä mielenterveysoireita tai yksinäisyyttä kokevien korkeakouluopiskelijoiden tukemiseen vertaistukitoiminnan  vapaaehtoistoiminnan  kahdenkeskisen keskusteluavun  tietosisältöjen tarjoamisen ja tapahtumatoiminnan avulla (359 790 €)</t>
        </is>
      </c>
    </row>
    <row r="119">
      <c r="A119" s="2">
        <v>118</v>
      </c>
      <c r="B119" s="2">
        <v>903</v>
      </c>
      <c r="C119" t="inlineStr" s="0">
        <is>
          <t>KESKI-SUOMEN YHTEISÖJEN TUKI RY</t>
        </is>
      </c>
      <c r="D119" s="2">
        <v>619953.0</v>
      </c>
      <c r="E119" s="2">
        <v>446578.0</v>
      </c>
      <c r="F119" s="2">
        <v>173375.0</v>
      </c>
      <c r="G119" s="2">
        <v>72.0</v>
      </c>
      <c r="H119" s="2">
        <v>3</v>
      </c>
      <c r="I119" t="inlineStr" s="0">
        <is>
          <t>Ak 3: Kansalaistoiminnankeskus Mataran toimintaan  alueen sote-järjestöjen tukemiseen  vapaaehtoistyön kehittämiseen ja koordinointiin sekä OLKA - toiminnan toteuttamiseen (255 780 €) | Ay 1957: Yleisavustuksena avustuksen saajan yleishyödylliseen toimintaan. (173 375 €) | Ak 1: Järjestöjen tuki- ja kehittämistoimintoihin Keski-Suomessa (190 798 €)</t>
        </is>
      </c>
    </row>
    <row r="120">
      <c r="A120" s="2">
        <v>119</v>
      </c>
      <c r="B120" s="2">
        <v>539</v>
      </c>
      <c r="C120" t="inlineStr" s="0">
        <is>
          <t>AVAIN-SÄÄTIÖ</t>
        </is>
      </c>
      <c r="D120" s="2">
        <v>619094.0</v>
      </c>
      <c r="E120" s="2">
        <v>531180.0</v>
      </c>
      <c r="F120" s="2">
        <v>87914.0</v>
      </c>
      <c r="G120" s="2">
        <v>85.8</v>
      </c>
      <c r="H120" s="2">
        <v>3</v>
      </c>
      <c r="I120" t="inlineStr" s="0">
        <is>
          <t>Ak 7678: Ikääntyneiden yksinäisyyden ennaltaehkäisemiseen ja vähentämiseen kuvapuheluvälitteisen pienryhmätoiminnan avulla Päijät- ja Kanta-Hämeessä (Ruutuystävät-toiminta) (124 520 €) | 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30.9</v>
      </c>
      <c r="H121" s="2">
        <v>2</v>
      </c>
      <c r="I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44.5</v>
      </c>
      <c r="H122" s="2">
        <v>3</v>
      </c>
      <c r="I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100.0</v>
      </c>
      <c r="H123" s="2">
        <v>3</v>
      </c>
      <c r="I123" t="inlineStr" s="0">
        <is>
          <t>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 | Ak 11135: Erityistä tukea tarvitsevien nuorten aikuisten terveyttä ja hyvinvointia tukevaan kohtaamispaikkatoimintaan  ryhmätoimintaan  vapaaehtoistyöhön ja yksilölliseen tukeen (237 951 €)</t>
        </is>
      </c>
    </row>
    <row r="124">
      <c r="A124" s="2">
        <v>123</v>
      </c>
      <c r="B124" s="2">
        <v>11</v>
      </c>
      <c r="C124" t="inlineStr" s="0">
        <is>
          <t>SETA RY</t>
        </is>
      </c>
      <c r="D124" s="2">
        <v>605660.0</v>
      </c>
      <c r="E124" s="2">
        <v>306140.0</v>
      </c>
      <c r="F124" s="2">
        <v>299520.0</v>
      </c>
      <c r="G124" s="2">
        <v>50.5</v>
      </c>
      <c r="H124" s="2">
        <v>3</v>
      </c>
      <c r="I124" t="inlineStr" s="0">
        <is>
          <t>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 | Ay 1: Yleisavustuksena avustuksen saajan yleishyödylliseen toimintaan (299 520 €)</t>
        </is>
      </c>
    </row>
    <row r="125">
      <c r="A125" s="2">
        <v>124</v>
      </c>
      <c r="B125" s="2">
        <v>641</v>
      </c>
      <c r="C125" t="inlineStr" s="0">
        <is>
          <t>FinFami ry, FinFami rf</t>
        </is>
      </c>
      <c r="D125" s="2">
        <v>597450.0</v>
      </c>
      <c r="E125" s="2">
        <v>267750.0</v>
      </c>
      <c r="F125" s="2">
        <v>329700.0</v>
      </c>
      <c r="G125" s="2">
        <v>44.8</v>
      </c>
      <c r="H125" s="2">
        <v>2</v>
      </c>
      <c r="I125" t="inlineStr" s="0">
        <is>
          <t>Ak 5: Alueellisten mielenterveysomaisjärjestöjen toimintaedellytysten vahvistamiseen kehittämällä ja koordinoimalla yhdistysten hallintoa  omaistyötä  vaikuttamistoimintaa sekä vapaaehtoistyötä (267 750 €) | Ay 1: Yleisavustuksena avustuksen saajan yleishyödylliseen toimintaan (329 700 €)</t>
        </is>
      </c>
    </row>
    <row r="126">
      <c r="A126" s="2">
        <v>125</v>
      </c>
      <c r="B126" s="2">
        <v>259</v>
      </c>
      <c r="C126" t="inlineStr" s="0">
        <is>
          <t>Förbundet Finlands Svenska Synskadade rf</t>
        </is>
      </c>
      <c r="D126" s="2">
        <v>584196.0</v>
      </c>
      <c r="E126" s="2">
        <v>474196.0</v>
      </c>
      <c r="F126" s="2">
        <v>110000.0</v>
      </c>
      <c r="G126" s="2">
        <v>81.2</v>
      </c>
      <c r="H126" s="2">
        <v>4</v>
      </c>
      <c r="I126" t="inlineStr" s="0">
        <is>
          <t>Ak 4282: För understöd som allokeras till medlemsorganisationer (55 990 €) | Ay 1: Som allmänt understöd för understödstagarens allmännyttiga verksamhet (110 000 €) | Ak 4: För främjande av svenskspråkiga synskadades tillgång till information och ökade delaktighet genom kommunikations- och punktskriftsverksamhet samt utgivning av svenskspråkiga tal- och punktskriftstidningar (256 706 €)</t>
        </is>
      </c>
    </row>
    <row r="127">
      <c r="A127" s="2">
        <v>126</v>
      </c>
      <c r="B127" s="2">
        <v>425</v>
      </c>
      <c r="C127" t="inlineStr" s="0">
        <is>
          <t>Mielenterveysyhdistys HELMI ry</t>
        </is>
      </c>
      <c r="D127" s="2">
        <v>581990.0</v>
      </c>
      <c r="E127" s="2">
        <v>581990.0</v>
      </c>
      <c r="F127" s="2">
        <v>0.0</v>
      </c>
      <c r="G127" s="2">
        <v>100.0</v>
      </c>
      <c r="H127" s="2">
        <v>1</v>
      </c>
      <c r="I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100.0</v>
      </c>
      <c r="H128" s="2">
        <v>1</v>
      </c>
      <c r="I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100.0</v>
      </c>
      <c r="H129" s="2">
        <v>1</v>
      </c>
      <c r="I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100.0</v>
      </c>
      <c r="H130" s="2">
        <v>3</v>
      </c>
      <c r="I130" t="inlineStr" s="0">
        <is>
          <t>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 | Ak 11703: Huolta  turvattomuutta  uhkaa tai apua tarvitsevien 7-15 vuotiaiden lasten yhteydenottoihin vastaamiseen ammattilaisten ja koulutettujen vapaaehtoisten avulla (Apuu-chat) (352 800 €)</t>
        </is>
      </c>
    </row>
    <row r="131">
      <c r="A131" s="2">
        <v>130</v>
      </c>
      <c r="B131" s="2">
        <v>232</v>
      </c>
      <c r="C131" t="inlineStr" s="0">
        <is>
          <t>VARSINAIS-SUOMEN MUISTIYHDISTYS RY</t>
        </is>
      </c>
      <c r="D131" s="2">
        <v>564102.0</v>
      </c>
      <c r="E131" s="2">
        <v>564102.0</v>
      </c>
      <c r="F131" s="2">
        <v>0.0</v>
      </c>
      <c r="G131" s="2">
        <v>100.0</v>
      </c>
      <c r="H131" s="2">
        <v>2</v>
      </c>
      <c r="I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48.8</v>
      </c>
      <c r="H132" s="2">
        <v>3</v>
      </c>
      <c r="I132" t="inlineStr" s="0">
        <is>
          <t>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Ay 1: Yleisavustuksena avustuksen saajan yleishyödylliseen toimintaan (286 601 €) | Ak 6: Jäsenjärjestöille kohdistettaviin avustuksiin (29 000 €)</t>
        </is>
      </c>
    </row>
    <row r="133">
      <c r="A133" s="2">
        <v>132</v>
      </c>
      <c r="B133" s="2">
        <v>1058</v>
      </c>
      <c r="C133" t="inlineStr" s="0">
        <is>
          <t>HyTe ry</t>
        </is>
      </c>
      <c r="D133" s="2">
        <v>559130.0</v>
      </c>
      <c r="E133" s="2">
        <v>398755.0</v>
      </c>
      <c r="F133" s="2">
        <v>160375.0</v>
      </c>
      <c r="G133" s="2">
        <v>71.3</v>
      </c>
      <c r="H133" s="2">
        <v>3</v>
      </c>
      <c r="I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100.0</v>
      </c>
      <c r="H134" s="2">
        <v>4</v>
      </c>
      <c r="I134" t="inlineStr" s="0">
        <is>
          <t>Ak 1: Palveluista syrjäytyneiden nuorten aikuisten matalan kynnyksen toimintaan sekä ryhmätoimintaan ja yksilölliseen tukeen
(Nuorten kohtaamispaikka TOIVO) (136 739 €) | Ak 10010: Nuorten syrjäytymistä ehkäisevään vapaa-ajan toimintaan Turun seudulla.
(Yökoris) (147 000 €)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100.0</v>
      </c>
      <c r="H135" s="2">
        <v>2</v>
      </c>
      <c r="I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62.5</v>
      </c>
      <c r="H136" s="2">
        <v>3</v>
      </c>
      <c r="I136" t="inlineStr" s="0">
        <is>
          <t>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 | Ay 4545: Yleisavustuksena avustuksen saajan yleishyödylliseen toimintaan (206 643 €)</t>
        </is>
      </c>
    </row>
    <row r="137">
      <c r="A137" s="2">
        <v>136</v>
      </c>
      <c r="B137" s="2">
        <v>777</v>
      </c>
      <c r="C137" t="inlineStr" s="0">
        <is>
          <t>SUOMEN LUUSTOLIITTO RY</t>
        </is>
      </c>
      <c r="D137" s="2">
        <v>543451.0</v>
      </c>
      <c r="E137" s="2">
        <v>244650.0</v>
      </c>
      <c r="F137" s="2">
        <v>298801.0</v>
      </c>
      <c r="G137" s="2">
        <v>45.0</v>
      </c>
      <c r="H137" s="2">
        <v>3</v>
      </c>
      <c r="I137" t="inlineStr" s="0">
        <is>
          <t>Ak 5: Jäsenjärjestöille kohdistettaviin avustuksiin (17 850 €) | Ay 1: Yleisavustuksena avustuksen saajan yleishyödylliseen toimintaan (298 801 €) | Ak 2: Osteoporoosia sairastavien avo- ja ryhmämuotoiseen kurssitoimintaan (226 800 €)</t>
        </is>
      </c>
    </row>
    <row r="138">
      <c r="A138" s="2">
        <v>137</v>
      </c>
      <c r="B138" s="2">
        <v>448</v>
      </c>
      <c r="C138" t="inlineStr" s="0">
        <is>
          <t>Varsinais-Suomen lastensuojelujärjestöt ry, Barnskyddsorganisationer i Egentliga Finland rf</t>
        </is>
      </c>
      <c r="D138" s="2">
        <v>529612.0</v>
      </c>
      <c r="E138" s="2">
        <v>183750.0</v>
      </c>
      <c r="F138" s="2">
        <v>345862.0</v>
      </c>
      <c r="G138" s="2">
        <v>34.7</v>
      </c>
      <c r="H138" s="2">
        <v>2</v>
      </c>
      <c r="I138" t="inlineStr" s="0">
        <is>
          <t>Ak 1528: 10-18-vuotiaiden lasten ja nuorten hyvinvoinnin tukemiseen sekä heidän vanhempien vanhemmuuden vahvistamiseen yksilöllisen tuen  vertaisryhmätoiminnan  tilaisuuksien sekä tiedon ja materiaalien levittämisen keinoin (Linkki-toiminta) (183 750 €) | Ay 1497: Yleisavustuksena avustuksen saajan yleishyödylliseen toimintaan (345 862 €)</t>
        </is>
      </c>
    </row>
    <row r="139">
      <c r="A139" s="2">
        <v>138</v>
      </c>
      <c r="B139" s="2">
        <v>378</v>
      </c>
      <c r="C139" t="inlineStr" s="0">
        <is>
          <t>Helsingin seudun erilaiset oppijat ry</t>
        </is>
      </c>
      <c r="D139" s="2">
        <v>527246.0</v>
      </c>
      <c r="E139" s="2">
        <v>527246.0</v>
      </c>
      <c r="F139" s="2">
        <v>0.0</v>
      </c>
      <c r="G139" s="2">
        <v>100.0</v>
      </c>
      <c r="H139" s="2">
        <v>2</v>
      </c>
      <c r="I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52.0</v>
      </c>
      <c r="H140" s="2">
        <v>4</v>
      </c>
      <c r="I140" t="inlineStr" s="0">
        <is>
          <t>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 | Ak 2508: Eri ikäisten suolistosairautta sairastavien ja heidän läheistensä yhteisöllisyyden ja osallistumismahdollisuuksien edistämiseen monimuotoisella vertaistukitoiminnalla (Valtakunnallinen vapaaehtois- ja vertaistoiminta) (133 980 €)</t>
        </is>
      </c>
    </row>
    <row r="141">
      <c r="A141" s="2">
        <v>140</v>
      </c>
      <c r="B141" s="2">
        <v>39</v>
      </c>
      <c r="C141" t="inlineStr" s="0">
        <is>
          <t>LAHDEN DIAKONIASÄÄTIÖ</t>
        </is>
      </c>
      <c r="D141" s="2">
        <v>511350.0</v>
      </c>
      <c r="E141" s="2">
        <v>511350.0</v>
      </c>
      <c r="F141" s="2">
        <v>0.0</v>
      </c>
      <c r="G141" s="2">
        <v>100.0</v>
      </c>
      <c r="H141" s="2">
        <v>2</v>
      </c>
      <c r="I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100.0</v>
      </c>
      <c r="H142" s="2">
        <v>1</v>
      </c>
      <c r="I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76695.0</v>
      </c>
      <c r="G143" s="2">
        <v>84.9</v>
      </c>
      <c r="H143" s="2">
        <v>4</v>
      </c>
      <c r="I143" t="inlineStr" s="0">
        <is>
          <t>C 13824: Euroopan sosiaalirahasto plussan (ESR+) hankkeen "Omanlaisena Yhdessä" osarahoitukseen järjestölle (2026-2028) (76 695 €) | Ak 11085: Jäsenjärjestöille kohdistettaviin avustuksiin. (28 500 €) | Ak 1198: Lapsiperheiden hyvinvoinnin ja osallisuuden edistämiseen sekä varhaiseen tukemiseen avoimen kohtaamispaikkatoiminnan  vertaisryhmien  yksilöllisen ohjauksen ja moniammatillisen yhteistyön keinoin (PerhePesä - Yhdessä toimien perheiden parhaaksi) (184 172 €)</t>
        </is>
      </c>
    </row>
    <row r="144">
      <c r="A144" s="2">
        <v>143</v>
      </c>
      <c r="B144" s="2">
        <v>945</v>
      </c>
      <c r="C144" t="inlineStr" s="0">
        <is>
          <t>Tukenasi ry, Till ditt stöd rf.</t>
        </is>
      </c>
      <c r="D144" s="2">
        <v>506608.0</v>
      </c>
      <c r="E144" s="2">
        <v>359975.0</v>
      </c>
      <c r="F144" s="2">
        <v>146633.0</v>
      </c>
      <c r="G144" s="2">
        <v>71.1</v>
      </c>
      <c r="H144" s="2">
        <v>4</v>
      </c>
      <c r="I144" t="inlineStr" s="0">
        <is>
          <t>Ak 4: Vaikeissa elämänmuutostilanteissa olevien yli 65 -vuotiaiden psykososiaalisen hyvinvoinnin tukemiseen ryhmämuotoisen tuen ja tukihenkilötoiminnan keinoin (Senioripysäkki) (154 350 €)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37.4</v>
      </c>
      <c r="H145" s="2">
        <v>3</v>
      </c>
      <c r="I145" t="inlineStr" s="0">
        <is>
          <t>Ay 1: Som allmänt understöd för understödstagarens allmännyttiga verksamhet (316 512 €) | Ak 6: För understöd som allokeras till medlemsorganisationer (20 000 €) | Ak 2: För att stöda livskontrollen- och hanteringen hos svenskspråkiga personer med psykisk ohälsa eller psykosocial funktionsnedsättning samt deras anhöriga med hjälp av psykosocial kursverksamhet  rådgivning och kamratstöd (168 887 €)</t>
        </is>
      </c>
    </row>
    <row r="146">
      <c r="A146" s="2">
        <v>145</v>
      </c>
      <c r="B146" s="2">
        <v>639</v>
      </c>
      <c r="C146" t="inlineStr" s="0">
        <is>
          <t>TampereMissio ry</t>
        </is>
      </c>
      <c r="D146" s="2">
        <v>501340.0</v>
      </c>
      <c r="E146" s="2">
        <v>395500.0</v>
      </c>
      <c r="F146" s="2">
        <v>105840.0</v>
      </c>
      <c r="G146" s="2">
        <v>78.9</v>
      </c>
      <c r="H146" s="2">
        <v>5</v>
      </c>
      <c r="I146" t="inlineStr" s="0">
        <is>
          <t>Ak 3: Ikääntyvien mielenterveyden ja hyvinvoinnin tukemiseen ryhmätoiminnan  yksilö- ja parikeskustelujen sekä ikätukitoiminnan avulla (Senioripysäkki-toiminta) (167 000 €) | Ay 2716: Yleisavustuksena avustuksen saajan yleishyödylliseen toimintaan (105 840 €) | Ak 9: Kehitysvammaisten ja erityistä tukea tarvitsevien nuorten ja aikuisten yksinäisyyden lieventämiseen ja omaehtoisen aktiivisuuden tukemiseen kohtaamispaikkatoiminnan ja jalkautuvan työn avulla (Iltalinjalla) (118 650 €)</t>
        </is>
      </c>
    </row>
    <row r="147">
      <c r="A147" s="2">
        <v>146</v>
      </c>
      <c r="B147" s="2">
        <v>240</v>
      </c>
      <c r="C147" t="inlineStr" s="0">
        <is>
          <t>LEIRIKESÄ RY</t>
        </is>
      </c>
      <c r="D147" s="2">
        <v>500000.0</v>
      </c>
      <c r="E147" s="2">
        <v>500000.0</v>
      </c>
      <c r="F147" s="2">
        <v>0.0</v>
      </c>
      <c r="G147" s="2">
        <v>100.0</v>
      </c>
      <c r="H147" s="2">
        <v>1</v>
      </c>
      <c r="I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100.0</v>
      </c>
      <c r="H148" s="2">
        <v>3</v>
      </c>
      <c r="I148" t="inlineStr" s="0">
        <is>
          <t>Ak 2: Vapaaehtois- ja vertaistoiminnan koordinointiin ja maahanmuuttajataustaisten poikien ja nuorten miesten osallisuuden ja aktivoinnin tukemiseen Tampereella 
(Vapari-toiminta) (181 650 €)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 | Ak 9653: Maahanmuuttajataustaisten vanhempien tukemiseen 7-16-vuotiaiden nuorten kasvatuksessa yksilöllisen tuen ja ryhmätoimintojen avulla sekä tietoisuuden lisäämiseen pakolaisperheiden vanhemmuudesta Tampereella
(Avaamo) (175 000 €)</t>
        </is>
      </c>
    </row>
    <row r="149">
      <c r="A149" s="2">
        <v>148</v>
      </c>
      <c r="B149" s="2">
        <v>1115</v>
      </c>
      <c r="C149" t="inlineStr" s="0">
        <is>
          <t>Oulun seudun omaishoitajat ry</t>
        </is>
      </c>
      <c r="D149" s="2">
        <v>493000.0</v>
      </c>
      <c r="E149" s="2">
        <v>318000.0</v>
      </c>
      <c r="F149" s="2">
        <v>175000.0</v>
      </c>
      <c r="G149" s="2">
        <v>64.5</v>
      </c>
      <c r="H149" s="2">
        <v>3</v>
      </c>
      <c r="I149" t="inlineStr" s="0">
        <is>
          <t>Ay 1107: Yleisavustuksena avustuksen saajan yleishyödylliseen toimintaan (175 000 €) | Ak 11632: Erityislapsiperheiden tukemiseen koko perheen sekä vanhempien välisen suhteen näkökulmasta teemallisten ryhmien  yksilöllisen tuen ja tiedotuksen avulla (Hyvinvoiva perhe) (135 000 €) | Ak 2295: Omaishoitajien tukemiseen ja heidän voimavarojensa lisäämiseen alueellisen matalan kynnyksen toiminnan  vapaaehtoistoiminnan  puhelin- ja chatneuvonnan sekä kokemusasiantuntijoiden vaikuttamistoiminnan avulla Oulun seudulla
(Ihmisen lähelle) (183 000 €)</t>
        </is>
      </c>
    </row>
    <row r="150">
      <c r="A150" s="2">
        <v>149</v>
      </c>
      <c r="B150" s="2">
        <v>585</v>
      </c>
      <c r="C150" t="inlineStr" s="0">
        <is>
          <t>SATAKUNNAN SININAUHA RY</t>
        </is>
      </c>
      <c r="D150" s="2">
        <v>487892.0</v>
      </c>
      <c r="E150" s="2">
        <v>438350.0</v>
      </c>
      <c r="F150" s="2">
        <v>49542.0</v>
      </c>
      <c r="G150" s="2">
        <v>89.8</v>
      </c>
      <c r="H150" s="2">
        <v>5</v>
      </c>
      <c r="I150" t="inlineStr" s="0">
        <is>
          <t>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 | 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t>
        </is>
      </c>
    </row>
    <row r="151">
      <c r="A151" s="2">
        <v>150</v>
      </c>
      <c r="B151" s="2">
        <v>787</v>
      </c>
      <c r="C151" t="inlineStr" s="0">
        <is>
          <t>Tampereen A-Kilta ry</t>
        </is>
      </c>
      <c r="D151" s="2">
        <v>482905.0</v>
      </c>
      <c r="E151" s="2">
        <v>482905.0</v>
      </c>
      <c r="F151" s="2">
        <v>0.0</v>
      </c>
      <c r="G151" s="2">
        <v>100.0</v>
      </c>
      <c r="H151" s="2">
        <v>3</v>
      </c>
      <c r="I151" t="inlineStr" s="0">
        <is>
          <t>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 | Ak 1: Päihdetoipujien ja mielenterveyskuntoutujien toimintakyvyn vahvistamiseen päihteettömällä yhdyskuntatupatyöllä ja palveluohjauksella sekä vapaaehtois- ja vertaistoiminnalla (304 155 €)</t>
        </is>
      </c>
    </row>
    <row r="152">
      <c r="A152" s="2">
        <v>151</v>
      </c>
      <c r="B152" s="2">
        <v>303</v>
      </c>
      <c r="C152" t="inlineStr" s="0">
        <is>
          <t>KEHITYSVAMMATUKI 57 RY</t>
        </is>
      </c>
      <c r="D152" s="2">
        <v>482900.0</v>
      </c>
      <c r="E152" s="2">
        <v>293024.0</v>
      </c>
      <c r="F152" s="2">
        <v>189876.0</v>
      </c>
      <c r="G152" s="2">
        <v>60.7</v>
      </c>
      <c r="H152" s="2">
        <v>4</v>
      </c>
      <c r="I152" t="inlineStr" s="0">
        <is>
          <t>Ak 2: Kehitysvammaisten ja vastaavaa laaja-alaista tukea tarvitsevien lasten ja nuorten vanhempien arjen tilapäiseen helpottamiseen ja jaksamisen tukemiseen parkkitoiminnan ja vertaistuen avulla (74 550 €)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Ay 7397: Yleisavustuksena avustuksen saajan yleishyödylliseen toimintaan (189 876 €)</t>
        </is>
      </c>
    </row>
    <row r="153">
      <c r="A153" s="2">
        <v>152</v>
      </c>
      <c r="B153" s="2">
        <v>441</v>
      </c>
      <c r="C153" t="inlineStr" s="0">
        <is>
          <t>Kirkkopalvelut ry</t>
        </is>
      </c>
      <c r="D153" s="2">
        <v>476437.0</v>
      </c>
      <c r="E153" s="2">
        <v>476437.0</v>
      </c>
      <c r="F153" s="2">
        <v>0.0</v>
      </c>
      <c r="G153" s="2">
        <v>100.0</v>
      </c>
      <c r="H153" s="2">
        <v>4</v>
      </c>
      <c r="I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10308: Ruoka-aputoiminnan tavoittavuuden  verkostoyhteistyön ja tiedolla johtamisen edistämiseen ruoka-apu.fi-verkkopalvelun jatkokehittämisen  ylläpidon ja levittämisen avulla (75 385 €)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t>
        </is>
      </c>
    </row>
    <row r="154">
      <c r="A154" s="2">
        <v>153</v>
      </c>
      <c r="B154" s="2">
        <v>987</v>
      </c>
      <c r="C154" t="inlineStr" s="0">
        <is>
          <t>TATU RY</t>
        </is>
      </c>
      <c r="D154" s="2">
        <v>468870.0</v>
      </c>
      <c r="E154" s="2">
        <v>468870.0</v>
      </c>
      <c r="F154" s="2">
        <v>0.0</v>
      </c>
      <c r="G154" s="2">
        <v>100.0</v>
      </c>
      <c r="H154" s="2">
        <v>3</v>
      </c>
      <c r="I154" t="inlineStr" s="0">
        <is>
          <t>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 | 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t>
        </is>
      </c>
    </row>
    <row r="155">
      <c r="A155" s="2">
        <v>154</v>
      </c>
      <c r="B155" s="2">
        <v>167</v>
      </c>
      <c r="C155" t="inlineStr" s="0">
        <is>
          <t>PIRKANMAAN MUISTIYHDISTYS RY</t>
        </is>
      </c>
      <c r="D155" s="2">
        <v>466473.0</v>
      </c>
      <c r="E155" s="2">
        <v>466473.0</v>
      </c>
      <c r="F155" s="2">
        <v>0.0</v>
      </c>
      <c r="G155" s="2">
        <v>100.0</v>
      </c>
      <c r="H155" s="2">
        <v>1</v>
      </c>
      <c r="I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100.0</v>
      </c>
      <c r="H156" s="2">
        <v>2</v>
      </c>
      <c r="I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100.0</v>
      </c>
      <c r="H157" s="2">
        <v>3</v>
      </c>
      <c r="I157" t="inlineStr" s="0">
        <is>
          <t>Ak 4: Matalan kynnyksen kohtaamispaikkatoimintaan maahanmuuttajille kotoutumisen edistämiseksi (Moninet) (132 300 €) | Ak 2: Matalan kynnyksen kohtaamispaikan avoimeen toimintaan
mielenterveyskuntoutujille (Jokkatupa) (123 760 €) | Ak 10374: Huumeita käyttävien hyvinvointia ja osallisuutta lisäävään kohtaamispaikkatoimintaan  neuvontaan sekä vertais- ja pienryhmätoimintaan Rovaniemen alueella (Osallisuuskeskus OODI) (196 193 €)</t>
        </is>
      </c>
    </row>
    <row r="158">
      <c r="A158" s="2">
        <v>157</v>
      </c>
      <c r="B158" s="2">
        <v>68</v>
      </c>
      <c r="C158" t="inlineStr" s="0">
        <is>
          <t>Pääkaupunkiseudun omaishoitajat ry, Huvudstadsregionens närståendevårdare rf</t>
        </is>
      </c>
      <c r="D158" s="2">
        <v>452084.0</v>
      </c>
      <c r="E158" s="2">
        <v>252500.0</v>
      </c>
      <c r="F158" s="2">
        <v>199584.0</v>
      </c>
      <c r="G158" s="2">
        <v>55.9</v>
      </c>
      <c r="H158" s="2">
        <v>3</v>
      </c>
      <c r="I158" t="inlineStr" s="0">
        <is>
          <t>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Ay 2241: Yleisavustuksena avustuksen saajan yleishyödylliseen toimintaan (199 584 €)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100.0</v>
      </c>
      <c r="H159" s="2">
        <v>2</v>
      </c>
      <c r="I159" t="inlineStr" s="0">
        <is>
          <t>Ak 12629: Mielenterveystoipujien toimintakyvyn lisäämiseen verkkomuotoisella klubitalotoiminnalla (eKlubitalo) (183 200 €) | Ak 10388: Mielenterveystoipujia tukevan klubitaloverkoston toiminnan kehittämiseen  kohderyhmän hyvinvoinnissa tapahtuvien muutosten todentamiseen sekä osallisuuden lisäämiseen (267 015 €)</t>
        </is>
      </c>
    </row>
    <row r="160">
      <c r="A160" s="2">
        <v>159</v>
      </c>
      <c r="B160" s="2">
        <v>701</v>
      </c>
      <c r="C160" t="inlineStr" s="0">
        <is>
          <t>Turun Setlementti ry</t>
        </is>
      </c>
      <c r="D160" s="2">
        <v>445971.0</v>
      </c>
      <c r="E160" s="2">
        <v>445971.0</v>
      </c>
      <c r="F160" s="2">
        <v>0.0</v>
      </c>
      <c r="G160" s="2">
        <v>100.0</v>
      </c>
      <c r="H160" s="2">
        <v>2</v>
      </c>
      <c r="I160" t="inlineStr" s="0">
        <is>
          <t>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 | 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t>
        </is>
      </c>
    </row>
    <row r="161">
      <c r="A161" s="2">
        <v>160</v>
      </c>
      <c r="B161" s="2">
        <v>1095</v>
      </c>
      <c r="C161" t="inlineStr" s="0">
        <is>
          <t>Lasten Kesä r.y.</t>
        </is>
      </c>
      <c r="D161" s="2">
        <v>439534.0</v>
      </c>
      <c r="E161" s="2">
        <v>439534.0</v>
      </c>
      <c r="F161" s="2">
        <v>0.0</v>
      </c>
      <c r="G161" s="2">
        <v>100.0</v>
      </c>
      <c r="H161" s="2">
        <v>1</v>
      </c>
      <c r="I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56.0</v>
      </c>
      <c r="H162" s="2">
        <v>3</v>
      </c>
      <c r="I162" t="inlineStr" s="0">
        <is>
          <t>Ak 1493: Rasismia ja sen haittavaikutuksia ennaltaehkäisevään työpajatoimintaan kulttuurisesti moninaisille 4–9-vuotiaille lapsille ja heidän kanssaan samoissa ryhmissä oleville muille lapsille (109 000 €) | 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t>
        </is>
      </c>
    </row>
    <row r="163">
      <c r="A163" s="2">
        <v>162</v>
      </c>
      <c r="B163" s="2">
        <v>898</v>
      </c>
      <c r="C163" t="inlineStr" s="0">
        <is>
          <t>Sopimusvuori r.y.</t>
        </is>
      </c>
      <c r="D163" s="2">
        <v>434500.0</v>
      </c>
      <c r="E163" s="2">
        <v>434500.0</v>
      </c>
      <c r="F163" s="2">
        <v>0.0</v>
      </c>
      <c r="G163" s="2">
        <v>100.0</v>
      </c>
      <c r="H163" s="2">
        <v>2</v>
      </c>
      <c r="I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78.6</v>
      </c>
      <c r="H164" s="2">
        <v>4</v>
      </c>
      <c r="I164" t="inlineStr" s="0">
        <is>
          <t>Ak 2790: Työelämästä syrjässä olevien aikuisten osallisuuden ja yhteisöllisyyden vahvistamiseen päihteettömällä ja avoimella matalan kynnyksen ryhmätoiminnalla sekä ohjauksella Tampereen Hervannassa 
(Täky) (143 976 €)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100.0</v>
      </c>
      <c r="H165" s="2">
        <v>2</v>
      </c>
      <c r="I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100.0</v>
      </c>
      <c r="H166" s="2">
        <v>2</v>
      </c>
      <c r="I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4.2</v>
      </c>
      <c r="H167" s="2">
        <v>2</v>
      </c>
      <c r="I167" t="inlineStr" s="0">
        <is>
          <t>Ak 2702: Jäsenjärjestöille kohdistettaviin avustuksiin (18 000 €) | Ay 1: Yleisavustuksena avustuksen saajan yleishyödylliseen toimintaan (410 130 €)</t>
        </is>
      </c>
    </row>
    <row r="168">
      <c r="A168" s="2">
        <v>167</v>
      </c>
      <c r="B168" s="2">
        <v>938</v>
      </c>
      <c r="C168" t="inlineStr" s="0">
        <is>
          <t>SVENSKA PENSIONÄRSFÖRBUNDET RF</t>
        </is>
      </c>
      <c r="D168" s="2">
        <v>427535.0</v>
      </c>
      <c r="E168" s="2">
        <v>101430.0</v>
      </c>
      <c r="F168" s="2">
        <v>326105.0</v>
      </c>
      <c r="G168" s="2">
        <v>23.7</v>
      </c>
      <c r="H168" s="2">
        <v>2</v>
      </c>
      <c r="I168" t="inlineStr" s="0">
        <is>
          <t>Ak 6: För att stöda den åldrande  svenskspråkiga befolkningens delaktighet i samhället genom att främja kunskaper i informations- och kommunikationsteknologi med hjälp av kamratstöd  individuell handledning  kurser och information (It för seniorer) (101 430 €) | Ay 1: Som allmänt understöd för understödstagarens allmännyttiga verksamhet (326 105 €)</t>
        </is>
      </c>
    </row>
    <row r="169">
      <c r="A169" s="2">
        <v>168</v>
      </c>
      <c r="B169" s="2">
        <v>546</v>
      </c>
      <c r="C169" t="inlineStr" s="0">
        <is>
          <t>Varsinais-Suomen mielenterveysomaiset - FinFami ry</t>
        </is>
      </c>
      <c r="D169" s="2">
        <v>422140.0</v>
      </c>
      <c r="E169" s="2">
        <v>422140.0</v>
      </c>
      <c r="F169" s="2">
        <v>0.0</v>
      </c>
      <c r="G169" s="2">
        <v>100.0</v>
      </c>
      <c r="H169" s="2">
        <v>1</v>
      </c>
      <c r="I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100.0</v>
      </c>
      <c r="H170" s="2">
        <v>2</v>
      </c>
      <c r="I170" t="inlineStr" s="0">
        <is>
          <t>Ak 9680: Lähisuhdeväkivaltaa vähentävään turvallisuusfokusoituun väkivaltatyöhön (yksilö- ja paritapaamiset) (130 000 €) | Ak 1: Järjestölähtöiseen kriisi- ja mielenterveystyöhön vaikeissa elämäntilanteissa oleville puhelimitse  verkossa  kasvokkain ja ammatillisesti ohjatuissa ryhmissä (Kuopion kriisikeskus) (291 900 €)</t>
        </is>
      </c>
    </row>
    <row r="171">
      <c r="A171" s="2">
        <v>170</v>
      </c>
      <c r="B171" s="2">
        <v>98</v>
      </c>
      <c r="C171" t="inlineStr" s="0">
        <is>
          <t>Hämeen Setlementti ry</t>
        </is>
      </c>
      <c r="D171" s="2">
        <v>421092.0</v>
      </c>
      <c r="E171" s="2">
        <v>421092.0</v>
      </c>
      <c r="F171" s="2">
        <v>0.0</v>
      </c>
      <c r="G171" s="2">
        <v>100.0</v>
      </c>
      <c r="H171" s="2">
        <v>3</v>
      </c>
      <c r="I171" t="inlineStr" s="0">
        <is>
          <t>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 | Ak 5: Osallisuutta ja arjenhallintaa edistävän matalan kynnyksen kohtaamispaikan ja miestentilan toimintaan sekä vapaaehtoistoiminnan koordinoimiseen (200 900 €)</t>
        </is>
      </c>
    </row>
    <row r="172">
      <c r="A172" s="2">
        <v>171</v>
      </c>
      <c r="B172" s="2">
        <v>827</v>
      </c>
      <c r="C172" t="inlineStr" s="0">
        <is>
          <t>LAPIN MUISTIYHDISTYS RY</t>
        </is>
      </c>
      <c r="D172" s="2">
        <v>418005.0</v>
      </c>
      <c r="E172" s="2">
        <v>418005.0</v>
      </c>
      <c r="F172" s="2">
        <v>0.0</v>
      </c>
      <c r="G172" s="2">
        <v>100.0</v>
      </c>
      <c r="H172" s="2">
        <v>2</v>
      </c>
      <c r="I172" t="inlineStr" s="0">
        <is>
          <t>Ak 6929: Lapissa tapahtuvaan aivoterveyden edistämistyöhön tiedottamisen   kouluttamisen  ryhmätoiminnan ja yhteistyön avulla (MUKU) (63 000 €) | Ak 4: Muistisairauksien asiantuntija- ja tukikeskuksen toimintaan ja muistisairaiden ja heidän läheistensä tukemiseen Lapissa
- vertaisryhmätoiminnalla
- ohjauksella ja neuvonnalla
- vapaaehtoistoiminnalla
- tiedotuksella
- edunvalvonnalla
(Muistiluotsi) (355 005 €)</t>
        </is>
      </c>
    </row>
    <row r="173">
      <c r="A173" s="2">
        <v>172</v>
      </c>
      <c r="B173" s="2">
        <v>37</v>
      </c>
      <c r="C173" t="inlineStr" s="0">
        <is>
          <t>Mannerheimin Lastensuojeluliiton Kaakkois-Suomen piiri ry</t>
        </is>
      </c>
      <c r="D173" s="2">
        <v>414039.0</v>
      </c>
      <c r="E173" s="2">
        <v>414039.0</v>
      </c>
      <c r="F173" s="2">
        <v>0.0</v>
      </c>
      <c r="G173" s="2">
        <v>100.0</v>
      </c>
      <c r="H173" s="2">
        <v>2</v>
      </c>
      <c r="I173" t="inlineStr" s="0">
        <is>
          <t>Ak 9704: Lapsen äänen ja näkökulman esille tuomiseen vanhempien erotilanteessa ja yhteistyövanhemmuuden tukemiseen kohtaamispaikkatoiminnan ja ammatillisesti ohjattujen vertaisryhmien keinoin. (192 386 €) | 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t>
        </is>
      </c>
    </row>
    <row r="174">
      <c r="A174" s="2">
        <v>173</v>
      </c>
      <c r="B174" s="2">
        <v>599</v>
      </c>
      <c r="C174" t="inlineStr" s="0">
        <is>
          <t>Yhteisöjen Yhdistys ry</t>
        </is>
      </c>
      <c r="D174" s="2">
        <v>409033.0</v>
      </c>
      <c r="E174" s="2">
        <v>409033.0</v>
      </c>
      <c r="F174" s="2">
        <v>0.0</v>
      </c>
      <c r="G174" s="2">
        <v>100.0</v>
      </c>
      <c r="H174" s="2">
        <v>2</v>
      </c>
      <c r="I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100.0</v>
      </c>
      <c r="H175" s="2">
        <v>2</v>
      </c>
      <c r="I175" t="inlineStr" s="0">
        <is>
          <t>Ak 12614: För psykosocialt stöd med låg tröskel för svenskspråkiga unga med hjälp av digitala rådgivnings- och chat-tjänster 
(Luckan Unginfo) (180 000 €) | Ak 2: För språk- och kulturöverskridande mötesplats med låg tröskel med informations- och vägledningstjänster samt mentor- och frivilligverksamhet för invandrare i huvudstadsregionen  Borgå och samt övriga Nyland (228 107 €)</t>
        </is>
      </c>
    </row>
    <row r="176">
      <c r="A176" s="2">
        <v>175</v>
      </c>
      <c r="B176" s="2">
        <v>228</v>
      </c>
      <c r="C176" t="inlineStr" s="0">
        <is>
          <t>KRIS-Tampere ry</t>
        </is>
      </c>
      <c r="D176" s="2">
        <v>406530.0</v>
      </c>
      <c r="E176" s="2">
        <v>406530.0</v>
      </c>
      <c r="F176" s="2">
        <v>0.0</v>
      </c>
      <c r="G176" s="2">
        <v>100.0</v>
      </c>
      <c r="H176" s="2">
        <v>2</v>
      </c>
      <c r="I176" t="inlineStr" s="0">
        <is>
          <t>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 | 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t>
        </is>
      </c>
    </row>
    <row r="177">
      <c r="A177" s="2">
        <v>176</v>
      </c>
      <c r="B177" s="2">
        <v>983</v>
      </c>
      <c r="C177" t="inlineStr" s="0">
        <is>
          <t>KUKUNORI RY</t>
        </is>
      </c>
      <c r="D177" s="2">
        <v>406487.0</v>
      </c>
      <c r="E177" s="2">
        <v>406487.0</v>
      </c>
      <c r="F177" s="2">
        <v>0.0</v>
      </c>
      <c r="G177" s="2">
        <v>100.0</v>
      </c>
      <c r="H177" s="2">
        <v>2</v>
      </c>
      <c r="I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39.0</v>
      </c>
      <c r="H178" s="2">
        <v>3</v>
      </c>
      <c r="I178" t="inlineStr" s="0">
        <is>
          <t>Ay 5: Yleisavustuksena avustuksen saajan yleishyödylliseen toimintaan (247 813 €) | Ak 11: Jäsenjärjestöille kohdistettaviin avustuksiin (11 223 €)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t>
        </is>
      </c>
    </row>
    <row r="179">
      <c r="A179" s="2">
        <v>178</v>
      </c>
      <c r="B179" s="2">
        <v>323</v>
      </c>
      <c r="C179" t="inlineStr" s="0">
        <is>
          <t>Yksin vanhempana ry</t>
        </is>
      </c>
      <c r="D179" s="2">
        <v>400774.0</v>
      </c>
      <c r="E179" s="2">
        <v>138694.0</v>
      </c>
      <c r="F179" s="2">
        <v>262080.0</v>
      </c>
      <c r="G179" s="2">
        <v>34.6</v>
      </c>
      <c r="H179" s="2">
        <v>2</v>
      </c>
      <c r="I179" t="inlineStr" s="0">
        <is>
          <t>Ak 1: Yhden vanhemman perheiden osallisuuden ja hyvinvoinnin vahvistamiseen vertais- ja vapaaehtoistoiminnan keinoin (138 694 €) | Ay 3870: Yleisavustuksena avustuksen saajan yleishyödylliseen toimintaan (262 080 €)</t>
        </is>
      </c>
    </row>
    <row r="180">
      <c r="A180" s="2">
        <v>179</v>
      </c>
      <c r="B180" s="2">
        <v>72</v>
      </c>
      <c r="C180" t="inlineStr" s="0">
        <is>
          <t>Pro Lapinlahti mielenterveysseura ry, Pro Lappviken förening för mental hälsa rf</t>
        </is>
      </c>
      <c r="D180" s="2">
        <v>396616.0</v>
      </c>
      <c r="E180" s="2">
        <v>396616.0</v>
      </c>
      <c r="F180" s="2">
        <v>0.0</v>
      </c>
      <c r="G180" s="2">
        <v>100.0</v>
      </c>
      <c r="H180" s="2">
        <v>2</v>
      </c>
      <c r="I180" t="inlineStr" s="0">
        <is>
          <t>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 | 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t>
        </is>
      </c>
    </row>
    <row r="181">
      <c r="A181" s="2">
        <v>180</v>
      </c>
      <c r="B181" s="2">
        <v>1147</v>
      </c>
      <c r="C181" t="inlineStr" s="0">
        <is>
          <t>Lastensuojelun Keskusliitto ry - Centralförbundet för Barnskydd rf</t>
        </is>
      </c>
      <c r="D181" s="2">
        <v>393747.0</v>
      </c>
      <c r="E181" s="2">
        <v>197336.0</v>
      </c>
      <c r="F181" s="2">
        <v>196411.0</v>
      </c>
      <c r="G181" s="2">
        <v>50.1</v>
      </c>
      <c r="H181" s="2">
        <v>2</v>
      </c>
      <c r="I181" t="inlineStr" s="0">
        <is>
          <t>Ay 1: Yleisavustuksena avustuksen saajan yleishyödylliseen toimintaan (196 411 €) | Ak 10182: Lasten ja perheiden kanssa toimivien järjestöjen valtakunnallisen perhekeskusverkoston koordinointiin sekä perhekeskustoimijoiden yhteistyön vahvistamiseen verkostotyön  osaamisen vahvistamisen sekä viestinnän avulla. (197 336 €)</t>
        </is>
      </c>
    </row>
    <row r="182">
      <c r="A182" s="2">
        <v>181</v>
      </c>
      <c r="B182" s="2">
        <v>778</v>
      </c>
      <c r="C182" t="inlineStr" s="0">
        <is>
          <t>Oulun Seudun Muistiyhdistys ry</t>
        </is>
      </c>
      <c r="D182" s="2">
        <v>391020.0</v>
      </c>
      <c r="E182" s="2">
        <v>391020.0</v>
      </c>
      <c r="F182" s="2">
        <v>0.0</v>
      </c>
      <c r="G182" s="2">
        <v>100.0</v>
      </c>
      <c r="H182" s="2">
        <v>1</v>
      </c>
      <c r="I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32682.0</v>
      </c>
      <c r="G183" s="2">
        <v>91.6</v>
      </c>
      <c r="H183" s="2">
        <v>3</v>
      </c>
      <c r="I183" t="inlineStr" s="0">
        <is>
          <t>Ak 1241: Maahan muuttaneiden  etenkin naisten  osallisuuden ja toimijuuden sekä kaksisuuntaisen kotoutumisen vahvistamiseen vapaaehtoistyönä toteutettavan suomen kielen sekä luku- ja kirjoitustaidon opetuksen avulla 
(Luetaan yhdessä -verkosto) (213 885 €) | C 13653: Turvapaikka-  maahanmuutto- ja kotouttamisrahaston hankkeen ”Sosiaalista suomea - Toisto-menetelmä kouluihin" osarahoitukseen järjestölle (2026-2028) (32 682 €) | Ak 11191: Maahan muuttaneiden naisten osallisuuden  työllistymisen ja urakehityksen sekä kaksisuuntaisen kotoutumisen edistämiseen ryhmämuotoisen mentoroinnin  vapaaehtoistoiminnan  verkostoitumisen ja vertaistuen avulla 
(Auroras) (143 040 €)</t>
        </is>
      </c>
    </row>
    <row r="184">
      <c r="A184" s="2">
        <v>183</v>
      </c>
      <c r="B184" s="2">
        <v>267</v>
      </c>
      <c r="C184" t="inlineStr" s="0">
        <is>
          <t>YMCA Tampere ry</t>
        </is>
      </c>
      <c r="D184" s="2">
        <v>389548.0</v>
      </c>
      <c r="E184" s="2">
        <v>389548.0</v>
      </c>
      <c r="F184" s="2">
        <v>0.0</v>
      </c>
      <c r="G184" s="2">
        <v>100.0</v>
      </c>
      <c r="H184" s="2">
        <v>2</v>
      </c>
      <c r="I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47.9</v>
      </c>
      <c r="H185" s="2">
        <v>2</v>
      </c>
      <c r="I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100.0</v>
      </c>
      <c r="H186" s="2">
        <v>2</v>
      </c>
      <c r="I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40000.0</v>
      </c>
      <c r="G187" s="2">
        <v>89.7</v>
      </c>
      <c r="H187" s="2">
        <v>4</v>
      </c>
      <c r="I187" t="inlineStr" s="0">
        <is>
          <t>Ak 10985: Asunnottomien ja asunnottomuusuhan alla olevien henkilöiden elämänlaadun ja -hallinnan lisäämiseen yksilöllisen tuki- ja neuvontatyön avulla Kuopion seudulla (132 501 €) | C 13803: Euroopan sosiaalirahasto plussan (ESR+) hankkeen "Yhdessä ajatuksista aikomuksiksi" (211336) osarahoitukseen järjestölle (2026-2027) (40 000 €) | Ak 10208: Huono-osaisten väestöryhmien osallisuuden  arjenhallinnan ja sosiaalisten
verkostojen lisäämiseen kohtaamispaikan  vapaaehtoisuuteen pohjautuvan ryhmätoiminnan ja yksilöllisen tuen avulla Kuopiossa (148 838 €)</t>
        </is>
      </c>
    </row>
    <row r="188">
      <c r="A188" s="2">
        <v>187</v>
      </c>
      <c r="B188" s="2">
        <v>1025</v>
      </c>
      <c r="C188" t="inlineStr" s="0">
        <is>
          <t>KÄPY - LAPSIKUOLEMAPERHEET RY</t>
        </is>
      </c>
      <c r="D188" s="2">
        <v>384526.0</v>
      </c>
      <c r="E188" s="2">
        <v>146000.0</v>
      </c>
      <c r="F188" s="2">
        <v>238526.0</v>
      </c>
      <c r="G188" s="2">
        <v>38.0</v>
      </c>
      <c r="H188" s="2">
        <v>2</v>
      </c>
      <c r="I188" t="inlineStr" s="0">
        <is>
          <t>Ak 9881: Surujärjestöjen yhteiseen kokemusasiantuntijatoimintaan ja asiantuntijatoimintaan läheisen varhaista tai äkillistä kuolemaa surevien henkilöiden tuen saannin edistämiseksi valtakunnallisesti (Surevan kohtaaminen). (146 000 €) | Ay 3: Yleisavustuksena avustuksena saajan yleishyödylliseen toimintaan (238 526 €)</t>
        </is>
      </c>
    </row>
    <row r="189">
      <c r="A189" s="2">
        <v>188</v>
      </c>
      <c r="B189" s="2">
        <v>309</v>
      </c>
      <c r="C189" t="inlineStr" s="0">
        <is>
          <t>Joensuun seudun omaishoitajat ry</t>
        </is>
      </c>
      <c r="D189" s="2">
        <v>378570.0</v>
      </c>
      <c r="E189" s="2">
        <v>378570.0</v>
      </c>
      <c r="F189" s="2">
        <v>0.0</v>
      </c>
      <c r="G189" s="2">
        <v>100.0</v>
      </c>
      <c r="H189" s="2">
        <v>2</v>
      </c>
      <c r="I189" t="inlineStr" s="0">
        <is>
          <t>Ak 10461: Hoivaajan asemassa olevien alle 18-vuotiaiden lasten ja nuorten sekä heidän vanhempiensa kuormittumisen ja syrjäytymisen ennaltaehkäisyyn ja vähentämiseen vertaistuen  yksilöllisen tuen ja virkistäytymismahdollisuuksien avulla (ALISA-toiminta) (98 070 €) | Ak 2: Omaishoitajien toimintakyvyn tukemiseen tiedottamisen  neuvonnan  vertaistoiminnan ja valmennusten avulla Pohjois-Karjalassa (OmaisOiva) (280 500 €)</t>
        </is>
      </c>
    </row>
    <row r="190">
      <c r="A190" s="2">
        <v>189</v>
      </c>
      <c r="B190" s="2">
        <v>708</v>
      </c>
      <c r="C190" t="inlineStr" s="0">
        <is>
          <t>Espoon mielenterveysyhdistys EMY ry, Esbo Mentalhälso förening EMF rf</t>
        </is>
      </c>
      <c r="D190" s="2">
        <v>377528.0</v>
      </c>
      <c r="E190" s="2">
        <v>377528.0</v>
      </c>
      <c r="F190" s="2">
        <v>0.0</v>
      </c>
      <c r="G190" s="2">
        <v>100.0</v>
      </c>
      <c r="H190" s="2">
        <v>1</v>
      </c>
      <c r="I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96000.0</v>
      </c>
      <c r="G191" s="2">
        <v>74.5</v>
      </c>
      <c r="H191" s="2">
        <v>2</v>
      </c>
      <c r="I191" t="inlineStr" s="0">
        <is>
          <t>C 13786: Euroopan sosiaalirahasto plussan (ESR+) hankkeen "Nuorten aivostudio – Muisti  terveys ja elintavat" osarahoitukseen järjestölle (2026-2028) (96 000 €) | 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t>
        </is>
      </c>
    </row>
    <row r="192">
      <c r="A192" s="2">
        <v>191</v>
      </c>
      <c r="B192" s="2">
        <v>390</v>
      </c>
      <c r="C192" t="inlineStr" s="0">
        <is>
          <t>Etelä-Karjalan perheiden tuki ry</t>
        </is>
      </c>
      <c r="D192" s="2">
        <v>375603.0</v>
      </c>
      <c r="E192" s="2">
        <v>375603.0</v>
      </c>
      <c r="F192" s="2">
        <v>0.0</v>
      </c>
      <c r="G192" s="2">
        <v>100.0</v>
      </c>
      <c r="H192" s="2">
        <v>3</v>
      </c>
      <c r="I192" t="inlineStr" s="0">
        <is>
          <t>Ak 5: Lähi- ja parisuhdeväkivallan ehkäisemiseen ja katkaisemisen yksilö-  pari- ja ryhmätapaamisten sekä tiedottamisen ja koulutuksen keinoin (125 000 €) | 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100.0</v>
      </c>
      <c r="H193" s="2">
        <v>1</v>
      </c>
      <c r="I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100.0</v>
      </c>
      <c r="H194" s="2">
        <v>2</v>
      </c>
      <c r="I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100.0</v>
      </c>
      <c r="H195" s="2">
        <v>3</v>
      </c>
      <c r="I195" t="inlineStr" s="0">
        <is>
          <t>Ak 3: Ikääntyneiden osallisuuden ja sosiaalisten kontaktien lisäämiseen sekä yksinäisyyden tunteen vähentämiseen vapaaehtoistoiminnan ja kohtaamispaikkatoiminnan keinoin (Virtaa vapaaehtoistyöhön) (100 669 €) | 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t>
        </is>
      </c>
    </row>
    <row r="196">
      <c r="A196" s="2">
        <v>195</v>
      </c>
      <c r="B196" s="2">
        <v>1217</v>
      </c>
      <c r="C196" t="inlineStr" s="0">
        <is>
          <t>NAUHA RY</t>
        </is>
      </c>
      <c r="D196" s="2">
        <v>370500.0</v>
      </c>
      <c r="E196" s="2">
        <v>370500.0</v>
      </c>
      <c r="F196" s="2">
        <v>0.0</v>
      </c>
      <c r="G196" s="2">
        <v>100.0</v>
      </c>
      <c r="H196" s="2">
        <v>2</v>
      </c>
      <c r="I196" t="inlineStr" s="0">
        <is>
          <t>Ak 4: Vapaaehtois- ja vertaistoiminnan toteuttamiseen ja kehittämiseen eri kohderyhmien (mm. päihdekuntoutujat  neuropsykiatrisista oireista kärsivät) arjen ja toimintakyvyn tukemiseksi (150 000 €) | Ak 7191: Maahanmuuttajien sosiaalisen hyvinvoinnin ja yhteiskuntaan integroitumisen tukemiseen kohtaamispaikkatoiminnan avulla (220 500 €)</t>
        </is>
      </c>
    </row>
    <row r="197">
      <c r="A197" s="2">
        <v>196</v>
      </c>
      <c r="B197" s="2">
        <v>158</v>
      </c>
      <c r="C197" t="inlineStr" s="0">
        <is>
          <t>PSYKIATRISEN KUNTOUTUKSEN TUKI RY</t>
        </is>
      </c>
      <c r="D197" s="2">
        <v>364087.0</v>
      </c>
      <c r="E197" s="2">
        <v>364087.0</v>
      </c>
      <c r="F197" s="2">
        <v>0.0</v>
      </c>
      <c r="G197" s="2">
        <v>100.0</v>
      </c>
      <c r="H197" s="2">
        <v>2</v>
      </c>
      <c r="I197" t="inlineStr" s="0">
        <is>
          <t>Ak 4131: Mielenterveyden haasteita kohdanneiden nuorten aikuisten toimintakyvyn ja mielen hyvinvoinnin lisäämisen vertaistukseen perustuvalla matalankynnyksen toiminnalla (Kulttuuripaja Trombi) (148 837 €) | Ak 2: Mielenterveyskuntoutujien terveyttä  hyvinvointia  osallisuutta sekä työ- ja opiskeluelämään palaamista edistävään tavoitteelliseen kohtaamispaikkatoimintaan (Suvimäen FH-klubitalo) (215 250 €)</t>
        </is>
      </c>
    </row>
    <row r="198">
      <c r="A198" s="2">
        <v>197</v>
      </c>
      <c r="B198" s="2">
        <v>235</v>
      </c>
      <c r="C198" t="inlineStr" s="0">
        <is>
          <t>HELSINGIN NUORTEN MIESTEN KRISTILLINEN YHDISTYS RY</t>
        </is>
      </c>
      <c r="D198" s="2">
        <v>361923.0</v>
      </c>
      <c r="E198" s="2">
        <v>361923.0</v>
      </c>
      <c r="F198" s="2">
        <v>0.0</v>
      </c>
      <c r="G198" s="2">
        <v>100.0</v>
      </c>
      <c r="H198" s="2">
        <v>2</v>
      </c>
      <c r="I198" t="inlineStr" s="0">
        <is>
          <t>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 | Ak 2: Maahanmuuttajanuorten osallistavaan viikonlopputoimintaan ja osallistumisen edistämiseen jalkautuvan ryhmätoiminnan avulla 
(Yökoripallo-toiminta  Helsinki) (188 554 €)</t>
        </is>
      </c>
    </row>
    <row r="199">
      <c r="A199" s="2">
        <v>198</v>
      </c>
      <c r="B199" s="2">
        <v>422</v>
      </c>
      <c r="C199" t="inlineStr" s="0">
        <is>
          <t>NAPAPIIRIN OMAISHOITAJAT RY</t>
        </is>
      </c>
      <c r="D199" s="2">
        <v>361179.0</v>
      </c>
      <c r="E199" s="2">
        <v>361179.0</v>
      </c>
      <c r="F199" s="2">
        <v>0.0</v>
      </c>
      <c r="G199" s="2">
        <v>100.0</v>
      </c>
      <c r="H199" s="2">
        <v>1</v>
      </c>
      <c r="I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100.0</v>
      </c>
      <c r="H200" s="2">
        <v>2</v>
      </c>
      <c r="I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22.3</v>
      </c>
      <c r="H201" s="2">
        <v>2</v>
      </c>
      <c r="I201" t="inlineStr" s="0">
        <is>
          <t>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 | Ay 1: Yleisavustuksena avustuksen saajan yleishyödylliseen toimintaan (279 060 €)</t>
        </is>
      </c>
    </row>
    <row r="202">
      <c r="A202" s="2">
        <v>201</v>
      </c>
      <c r="B202" s="2">
        <v>1014</v>
      </c>
      <c r="C202" t="inlineStr" s="0">
        <is>
          <t>SVENSKA HÖRSELFÖRBUNDET RF</t>
        </is>
      </c>
      <c r="D202" s="2">
        <v>356200.0</v>
      </c>
      <c r="E202" s="2">
        <v>123650.0</v>
      </c>
      <c r="F202" s="2">
        <v>232550.0</v>
      </c>
      <c r="G202" s="2">
        <v>34.7</v>
      </c>
      <c r="H202" s="2">
        <v>3</v>
      </c>
      <c r="I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100.0</v>
      </c>
      <c r="H203" s="2">
        <v>2</v>
      </c>
      <c r="I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100.0</v>
      </c>
      <c r="H204" s="2">
        <v>2</v>
      </c>
      <c r="I204" t="inlineStr" s="0">
        <is>
          <t>Ak 1: Mielenterveyskuntoutujien terveyttä  hyvinvointia  osallisuutta sekä työ- ja opiskeluelämään palaamista edistävään kohtaamispaikkatoimintaan (Heikintalo) (168 241 €) | 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t>
        </is>
      </c>
    </row>
    <row r="205">
      <c r="A205" s="2">
        <v>204</v>
      </c>
      <c r="B205" s="2">
        <v>500</v>
      </c>
      <c r="C205" t="inlineStr" s="0">
        <is>
          <t>Satakunnan ensi- ja turvakoti ry</t>
        </is>
      </c>
      <c r="D205" s="2">
        <v>351292.0</v>
      </c>
      <c r="E205" s="2">
        <v>351292.0</v>
      </c>
      <c r="F205" s="2">
        <v>0.0</v>
      </c>
      <c r="G205" s="2">
        <v>100.0</v>
      </c>
      <c r="H205" s="2">
        <v>2</v>
      </c>
      <c r="I205" t="inlineStr" s="0">
        <is>
          <t>Ak 4: Vauvaperheiden vanhemmuuden ja vuorovaikutuksen tukemiseen ryhmätoiminnan keinoin (vauvaperheryhmätoiminta vauvaperheille)  lapsiperheiden elämänhallinnan ja toimintakyvyn edistämiseen asumisen tukipalveluilla sekä yhdistyksen vapaaehtoistyön koordinointiin (150 393 €) | Ak 10: Yksilö-  pari- ja ryhmämuotoiseen avokriisityöhön perhe- ja lähisuhdeväkivaltaa kokeneiden  tekijöiden ja altistuneiden kanssa sekä haastavissa erotilanteissa olevien perheiden tukemiseen (Avokriisityö) (200 899 €)</t>
        </is>
      </c>
    </row>
    <row r="206">
      <c r="A206" s="2">
        <v>205</v>
      </c>
      <c r="B206" s="2">
        <v>928</v>
      </c>
      <c r="C206" t="inlineStr" s="0">
        <is>
          <t>SELKÄLIITTO RY</t>
        </is>
      </c>
      <c r="D206" s="2">
        <v>350200.0</v>
      </c>
      <c r="E206" s="2">
        <v>25000.0</v>
      </c>
      <c r="F206" s="2">
        <v>325200.0</v>
      </c>
      <c r="G206" s="2">
        <v>7.1</v>
      </c>
      <c r="H206" s="2">
        <v>2</v>
      </c>
      <c r="I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100.0</v>
      </c>
      <c r="H207" s="2">
        <v>1</v>
      </c>
      <c r="I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42.5</v>
      </c>
      <c r="H208" s="2">
        <v>2</v>
      </c>
      <c r="I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100.0</v>
      </c>
      <c r="H209" s="2">
        <v>1</v>
      </c>
      <c r="I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100.0</v>
      </c>
      <c r="H210" s="2">
        <v>1</v>
      </c>
      <c r="I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31.3</v>
      </c>
      <c r="H211" s="2">
        <v>2</v>
      </c>
      <c r="I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100.0</v>
      </c>
      <c r="H212" s="2">
        <v>1</v>
      </c>
      <c r="I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100.0</v>
      </c>
      <c r="H213" s="2">
        <v>2</v>
      </c>
      <c r="I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100.0</v>
      </c>
      <c r="H214" s="2">
        <v>1</v>
      </c>
      <c r="I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100.0</v>
      </c>
      <c r="H215" s="2">
        <v>1</v>
      </c>
      <c r="I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100.0</v>
      </c>
      <c r="H216" s="2">
        <v>2</v>
      </c>
      <c r="I216" t="inlineStr" s="0">
        <is>
          <t>Ak 3: Nuorisoväkivallan ehkäisyyn ryhmätoiminnan avulla ja nuorten väkivallattoman käyttäytymisen edistämiseen sekä kiusaamisen vastaiseen työhön Itä- ja Kaakkois-Suomessa (150 395 €) | Ak 1: Nuorisoväkivallan ehkäisyyn ja nuorten väkivallattoman käyttäytymisen edistämiseen ryhmätoiminnan avulla sekä kiusaamisen vastaiseen työhön Etelä-Suomessa (184 065 €)</t>
        </is>
      </c>
    </row>
    <row r="217">
      <c r="A217" s="2">
        <v>216</v>
      </c>
      <c r="B217" s="2">
        <v>412</v>
      </c>
      <c r="C217" t="inlineStr" s="0">
        <is>
          <t>JOENSUUN SETLEMENTTI RY</t>
        </is>
      </c>
      <c r="D217" s="2">
        <v>332658.0</v>
      </c>
      <c r="E217" s="2">
        <v>332658.0</v>
      </c>
      <c r="F217" s="2">
        <v>0.0</v>
      </c>
      <c r="G217" s="2">
        <v>100.0</v>
      </c>
      <c r="H217" s="2">
        <v>2</v>
      </c>
      <c r="I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36.0</v>
      </c>
      <c r="H218" s="2">
        <v>2</v>
      </c>
      <c r="I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100.0</v>
      </c>
      <c r="H219" s="2">
        <v>1</v>
      </c>
      <c r="I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1</v>
      </c>
      <c r="I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59.4</v>
      </c>
      <c r="H221" s="2">
        <v>2</v>
      </c>
      <c r="I221" t="inlineStr" s="0">
        <is>
          <t>Ay 1: Yleisavustuksena avustuksen saajan yleishyödylliseen toimintaan (134 136 €) | Ak 11240: Nuorten huumeidenkäytön  varhaisten kokeilujen ja käytöstä aiheutuvien haittojen ehkäisyyn nuoria osallistavan vapaaehtoistoiminnan  koulutuksen ja päihteettömän toiminnan avulla (196 000 €)</t>
        </is>
      </c>
    </row>
    <row r="222">
      <c r="A222" s="2">
        <v>221</v>
      </c>
      <c r="B222" s="2">
        <v>707</v>
      </c>
      <c r="C222" t="inlineStr" s="0">
        <is>
          <t>SATAKUNNAN YHTEISÖT RY</t>
        </is>
      </c>
      <c r="D222" s="2">
        <v>329700.0</v>
      </c>
      <c r="E222" s="2">
        <v>329700.0</v>
      </c>
      <c r="F222" s="2">
        <v>0.0</v>
      </c>
      <c r="G222" s="2">
        <v>100.0</v>
      </c>
      <c r="H222" s="2">
        <v>1</v>
      </c>
      <c r="I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100.0</v>
      </c>
      <c r="H223" s="2">
        <v>1</v>
      </c>
      <c r="I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100.0</v>
      </c>
      <c r="H224" s="2">
        <v>1</v>
      </c>
      <c r="I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49.2</v>
      </c>
      <c r="H225" s="2">
        <v>3</v>
      </c>
      <c r="I225" t="inlineStr" s="0">
        <is>
          <t>Ak 2605: Jäsenjärjestöille kohdistettaviin avustuksiin (6 180 €) | Ay 1: Yleisavustuksena avustuksen saajan yleishyödylliseen toimintaan (166 000 €) | Ak 3: Vertaisperhekursseja  leirejä  verkkotilaisuuksia ja tapahtumia sisältävän vertaistoiminnan järjestämiseen kuulovammaisten lasten perheille (154 500 €)</t>
        </is>
      </c>
    </row>
    <row r="226">
      <c r="A226" s="2">
        <v>225</v>
      </c>
      <c r="B226" s="2">
        <v>684</v>
      </c>
      <c r="C226" t="inlineStr" s="0">
        <is>
          <t>MIELI Oulun seudun Mielenterveys ry</t>
        </is>
      </c>
      <c r="D226" s="2">
        <v>325987.0</v>
      </c>
      <c r="E226" s="2">
        <v>325987.0</v>
      </c>
      <c r="F226" s="2">
        <v>0.0</v>
      </c>
      <c r="G226" s="2">
        <v>100.0</v>
      </c>
      <c r="H226" s="2">
        <v>1</v>
      </c>
      <c r="I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100.0</v>
      </c>
      <c r="H227" s="2">
        <v>1</v>
      </c>
      <c r="I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100.0</v>
      </c>
      <c r="H228" s="2">
        <v>2</v>
      </c>
      <c r="I228" t="inlineStr" s="0">
        <is>
          <t>Ak 2: För vänverksamhet för svenskspråkiga personer med olika funktionsnedsättningar i Nyland och Österbotten (134 000 €) | Ak 1: För juridisk rådgivning  intressebevakning och informationsverksamhet till förmån för personer med funktionsnedsättning och deras närstående i Svenskfinland (189 138 €)</t>
        </is>
      </c>
    </row>
    <row r="229">
      <c r="A229" s="2">
        <v>228</v>
      </c>
      <c r="B229" s="2">
        <v>1155</v>
      </c>
      <c r="C229" t="inlineStr" s="0">
        <is>
          <t>KANSALLINEN SENIORILIITTO RY</t>
        </is>
      </c>
      <c r="D229" s="2">
        <v>322588.0</v>
      </c>
      <c r="E229" s="2">
        <v>31500.0</v>
      </c>
      <c r="F229" s="2">
        <v>291088.0</v>
      </c>
      <c r="G229" s="2">
        <v>9.8</v>
      </c>
      <c r="H229" s="2">
        <v>2</v>
      </c>
      <c r="I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100.0</v>
      </c>
      <c r="H230" s="2">
        <v>1</v>
      </c>
      <c r="I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100.0</v>
      </c>
      <c r="H231" s="2">
        <v>1</v>
      </c>
      <c r="I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100.0</v>
      </c>
      <c r="H232" s="2">
        <v>1</v>
      </c>
      <c r="I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100.0</v>
      </c>
      <c r="H233" s="2">
        <v>1</v>
      </c>
      <c r="I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100.0</v>
      </c>
      <c r="H234" s="2">
        <v>1</v>
      </c>
      <c r="I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100.0</v>
      </c>
      <c r="H235" s="2">
        <v>2</v>
      </c>
      <c r="I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100.0</v>
      </c>
      <c r="H236" s="2">
        <v>1</v>
      </c>
      <c r="I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100.0</v>
      </c>
      <c r="H237" s="2">
        <v>1</v>
      </c>
      <c r="I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100.0</v>
      </c>
      <c r="H238" s="2">
        <v>2</v>
      </c>
      <c r="I238" t="inlineStr" s="0">
        <is>
          <t>Ak 2: Päihde- ja moniongelmaisten asumistilannetta ja asumisen onnistumista edistävään tukitoimintaan (Pirtti-toiminta) (131 314 €) | Ak 3: Pitkäaikaistyöttömien sekä päihde- ja mielenterveyskuntoutujien sosiaaliseen vahvistamiseen sekä arjenhallintataitojen lisäämiseen ryhmätoiminnalla ja yksilöllisellä tuella (185 861 €)</t>
        </is>
      </c>
    </row>
    <row r="239">
      <c r="A239" s="2">
        <v>238</v>
      </c>
      <c r="B239" s="2">
        <v>1032</v>
      </c>
      <c r="C239" t="inlineStr" s="0">
        <is>
          <t>YLÄ-SAVON ENSI- JA TURVAKOTIYHDISTYS RY</t>
        </is>
      </c>
      <c r="D239" s="2">
        <v>314580.0</v>
      </c>
      <c r="E239" s="2">
        <v>314580.0</v>
      </c>
      <c r="F239" s="2">
        <v>0.0</v>
      </c>
      <c r="G239" s="2">
        <v>100.0</v>
      </c>
      <c r="H239" s="2">
        <v>2</v>
      </c>
      <c r="I239" t="inlineStr" s="0">
        <is>
          <t>Ak 2: Lapsiperheitä tukevaan järjestölähtöiseen avopalvelutoimintaan (Avitus-toiminta: Ero lapsiperheessä-  vertaisryhmä-  Yökylä-  Päiväleiri-  ja Mummolatoiminta  Perhetuvan Lauantai  chatverkkoauttaminen  kansalaisjärjestötoiminta) (101 430 €) | Ak 1586: Pikkulapsiperheiden vanhemmuuden ja vuorovaikutuksen yksilö- ja ryhmämuotoiseen tukemiseen (vauvaperheryhmätoiminta  vapaaehtoisdoula-toiminta ja raskausajan työskentely erityistä tukea tarvitseville vauvaa odottaville perheille  chat  isätoiminta) (213 150 €)</t>
        </is>
      </c>
    </row>
    <row r="240">
      <c r="A240" s="2">
        <v>239</v>
      </c>
      <c r="B240" s="2">
        <v>868</v>
      </c>
      <c r="C240" t="inlineStr" s="0">
        <is>
          <t>MIELI Pohjanmaan mielenterveys ry, MIELI psykisk hälsa Österbotten rf</t>
        </is>
      </c>
      <c r="D240" s="2">
        <v>314000.0</v>
      </c>
      <c r="E240" s="2">
        <v>314000.0</v>
      </c>
      <c r="F240" s="2">
        <v>0.0</v>
      </c>
      <c r="G240" s="2">
        <v>100.0</v>
      </c>
      <c r="H240" s="2">
        <v>1</v>
      </c>
      <c r="I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100.0</v>
      </c>
      <c r="H241" s="2">
        <v>1</v>
      </c>
      <c r="I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100.0</v>
      </c>
      <c r="H242" s="2">
        <v>2</v>
      </c>
      <c r="I242" t="inlineStr" s="0">
        <is>
          <t>Ak 11271: OLKA-toimintamallin mukaiseen vapaaehtoistyön koordinointiin sekä sairastuneen toimintakyvyn vahvistamiseen järjestöjen ja keskussairaalan yhteistyöllä (OLKA-toiminta Keski-Pohjanmaa) (120 750 €) | Ak 1: Kansalaistoimintakeskuksen kohtaamispaikan koordinointiin tukemaan yhdistysten toimintaa  kehittämään vapaaehtoistoimintaa ja verkostotyötä sekä tarjoamaan alueen eri asukasryhmille kohtaamispaikka Kokkolassa (Yhteisöklubi-Gemenskapsklubben SILTA) (187 425 €)</t>
        </is>
      </c>
    </row>
    <row r="243">
      <c r="A243" s="2">
        <v>242</v>
      </c>
      <c r="B243" s="2">
        <v>702</v>
      </c>
      <c r="C243" t="inlineStr" s="0">
        <is>
          <t>VARSINAIS-SUOMEN SININAUHA RY</t>
        </is>
      </c>
      <c r="D243" s="2">
        <v>307009.0</v>
      </c>
      <c r="E243" s="2">
        <v>265714.0</v>
      </c>
      <c r="F243" s="2">
        <v>41295.0</v>
      </c>
      <c r="G243" s="2">
        <v>86.5</v>
      </c>
      <c r="H243" s="2">
        <v>3</v>
      </c>
      <c r="I243" t="inlineStr" s="0">
        <is>
          <t>Ak 10747: Kodin ulkopuoliseen väkivaltaan syyllistyneiden tai syyllistymisriskissä olevien väkivaltaisen käyttäytymisen vähentämiseen ja ehkäisemiseen yksilöllisen asiakastyön ja verkostotyön avulla (138 740 €) | C 13700: Euroopan sosiaalirahasto plussan (ESR+) hankkeen "Osaamista alaikäisten rikosten torjumiseksi (210285)" osarahoitukseen järjestölle (2026-2028) (41 295 €) | Ak 6112: Pääasiallisesti alle 30-vuotiaiden Turun alueelle vapautuvien vankien ja yhdyskuntaseuraamusasiakkaiden elämänhallinnan edistämiseen yksilöllisen tuen ja ryhmätoiminnan avulla (126 974 €)</t>
        </is>
      </c>
    </row>
    <row r="244">
      <c r="A244" s="2">
        <v>243</v>
      </c>
      <c r="B244" s="2">
        <v>718</v>
      </c>
      <c r="C244" t="inlineStr" s="0">
        <is>
          <t>IMETYKSEN TUKI RY</t>
        </is>
      </c>
      <c r="D244" s="2">
        <v>307004.0</v>
      </c>
      <c r="E244" s="2">
        <v>307004.0</v>
      </c>
      <c r="F244" s="2">
        <v>0.0</v>
      </c>
      <c r="G244" s="2">
        <v>100.0</v>
      </c>
      <c r="H244" s="2">
        <v>1</v>
      </c>
      <c r="I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45.4</v>
      </c>
      <c r="H245" s="2">
        <v>4</v>
      </c>
      <c r="I245" t="inlineStr" s="0">
        <is>
          <t>Ay 1: Yleisavustuksena avustuksen saajan yleishyödylliseen toimintaan (167 000 €) | Ak 3: Avanne- ja vastaavasti leikattujen ja anaali-inkontinenssipotilaiden sekä heidän läheistensä tukemiseen sairauden käsittelyssä ja omahoidon toteuttamisessa sekä terveyden ja hyvinvoinnin edistämiseen tavoitteellisen ryhmätoiminnan avulla (60 000 €) | Ak 12529: Avanne- ja vastaavasti leikattujen ja anaali-inkontinenssipotilaiden sekä heidän läheistensä vapaaehtoistoiminnan koordinointiin sekä vapaaehtoisten tukemiseen  koulutuksiin ja virkistykseen (61 000 €)</t>
        </is>
      </c>
    </row>
    <row r="246">
      <c r="A246" s="2">
        <v>245</v>
      </c>
      <c r="B246" s="2">
        <v>252</v>
      </c>
      <c r="C246" t="inlineStr" s="0">
        <is>
          <t>Pohjanmaan ensi- ja turvakoti ry - Österbottens mödra- och skyddshem rf</t>
        </is>
      </c>
      <c r="D246" s="2">
        <v>305272.0</v>
      </c>
      <c r="E246" s="2">
        <v>305272.0</v>
      </c>
      <c r="F246" s="2">
        <v>0.0</v>
      </c>
      <c r="G246" s="2">
        <v>100.0</v>
      </c>
      <c r="H246" s="2">
        <v>2</v>
      </c>
      <c r="I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100.0</v>
      </c>
      <c r="H247" s="2">
        <v>1</v>
      </c>
      <c r="I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100.0</v>
      </c>
      <c r="H248" s="2">
        <v>2</v>
      </c>
      <c r="I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100.0</v>
      </c>
      <c r="H249" s="2">
        <v>1</v>
      </c>
      <c r="I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100.0</v>
      </c>
      <c r="H250" s="2">
        <v>1</v>
      </c>
      <c r="I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100.0</v>
      </c>
      <c r="H251" s="2">
        <v>1</v>
      </c>
      <c r="I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100.0</v>
      </c>
      <c r="H252" s="2">
        <v>2</v>
      </c>
      <c r="I252" t="inlineStr" s="0">
        <is>
          <t>Ak 12355: Kotona yksin asuvien ikääntyneiden fyysisen kunnon  liikkumis- ja toimintakyvyn ylläpitämiseen vapaaehtoisten kuntoilukummien avulla (Kuntoilukummitoiminta) (131 945 €) | Ak 1: Yksin asuvien ikääntyneiden yksinäisyyden tunteen vähentämiseen  osallisuuden lisäämiseen ja voimavarojen vahvistamiseen pitkäkestoisen ja kertaluontoisen ystävätoiminnan avulla (163 767 €)</t>
        </is>
      </c>
    </row>
    <row r="253">
      <c r="A253" s="2">
        <v>252</v>
      </c>
      <c r="B253" s="2">
        <v>571</v>
      </c>
      <c r="C253" t="inlineStr" s="0">
        <is>
          <t>PAASIKIVEN NUORISOKYLÄN SÄÄTIÖ</t>
        </is>
      </c>
      <c r="D253" s="2">
        <v>295050.0</v>
      </c>
      <c r="E253" s="2">
        <v>295050.0</v>
      </c>
      <c r="F253" s="2">
        <v>0.0</v>
      </c>
      <c r="G253" s="2">
        <v>100.0</v>
      </c>
      <c r="H253" s="2">
        <v>1</v>
      </c>
      <c r="I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100.0</v>
      </c>
      <c r="H254" s="2">
        <v>1</v>
      </c>
      <c r="I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100.0</v>
      </c>
      <c r="H255" s="2">
        <v>1</v>
      </c>
      <c r="I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100.0</v>
      </c>
      <c r="H256" s="2">
        <v>1</v>
      </c>
      <c r="I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100.0</v>
      </c>
      <c r="H257" s="2">
        <v>1</v>
      </c>
      <c r="I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22.2</v>
      </c>
      <c r="H258" s="2">
        <v>3</v>
      </c>
      <c r="I258" t="inlineStr" s="0">
        <is>
          <t>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Ay 1: Yleisavustuksena avustuksen saajan yleishyödylliseen toimintaan (225 440 €) | Ak 3: Jäsenjärjestöille kohdistettaviin avustuksiin (14 000 €)</t>
        </is>
      </c>
    </row>
    <row r="259">
      <c r="A259" s="2">
        <v>258</v>
      </c>
      <c r="B259" s="2">
        <v>492</v>
      </c>
      <c r="C259" t="inlineStr" s="0">
        <is>
          <t>Pohjois-Karjalan mielenterveysomaiset - Finfami ry</t>
        </is>
      </c>
      <c r="D259" s="2">
        <v>289000.0</v>
      </c>
      <c r="E259" s="2">
        <v>289000.0</v>
      </c>
      <c r="F259" s="2">
        <v>0.0</v>
      </c>
      <c r="G259" s="2">
        <v>100.0</v>
      </c>
      <c r="H259" s="2">
        <v>1</v>
      </c>
      <c r="I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100.0</v>
      </c>
      <c r="H260" s="2">
        <v>2</v>
      </c>
      <c r="I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100.0</v>
      </c>
      <c r="H261" s="2">
        <v>2</v>
      </c>
      <c r="I261" t="inlineStr" s="0">
        <is>
          <t>Ak 6940: OLKA-toimintamallin mukaiseen vapaaehtoistoiminnan koordinointiin  kehittämiseen ja toteuttamiseen sekä sairaaloiden ja järjestöjen yhteistyöhön Pohjois-Pohjanmaan hyvinvointialueella (120 750 €) | Ak 1: Järjestölähtöiseen toiminnan toteuttamiseen Oulussa sijaitsevan kumppanuuskeskuksen neuvontapisteessä  kansalaisten järjestötiedon ja osallisuuden lisäämiseen sekä järjestöjen välisen yhteistyön edistämiseen (168 000 €)</t>
        </is>
      </c>
    </row>
    <row r="262">
      <c r="A262" s="2">
        <v>261</v>
      </c>
      <c r="B262" s="2">
        <v>783</v>
      </c>
      <c r="C262" t="inlineStr" s="0">
        <is>
          <t>Turun Seudun Omaishoitajat ry, Åbo Regionens Närståendevårdare rf</t>
        </is>
      </c>
      <c r="D262" s="2">
        <v>287900.0</v>
      </c>
      <c r="E262" s="2">
        <v>287900.0</v>
      </c>
      <c r="F262" s="2">
        <v>0.0</v>
      </c>
      <c r="G262" s="2">
        <v>100.0</v>
      </c>
      <c r="H262" s="2">
        <v>1</v>
      </c>
      <c r="I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100.0</v>
      </c>
      <c r="H263" s="2">
        <v>1</v>
      </c>
      <c r="I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69000.0</v>
      </c>
      <c r="G264" s="2">
        <v>75.9</v>
      </c>
      <c r="H264" s="2">
        <v>3</v>
      </c>
      <c r="I264" t="inlineStr" s="0">
        <is>
          <t>C 13724: Euroopan sosiaalirahasto plussan (ESR+) hankkeen  "Pikkuhelppiä perheille" osarahoitukseen järjestölle (2026) (69 000 €) | Ak 3739: Palveluoperaatio Saappaan vapaaehtoistyön koulutustoimintaan ja koordinointiin. 
(Palveluoperaatio Saapas) (88 871 €) | Ak 3923: Nuorten sosiaalisia taitoja vahvistavan moottoripajatoiminnan valtakunnalliseen koordinointiin ja moottoripajatoiminnassa toimivien vapaaehtoisten koulutukseen.
(Moottoripajatoiminta) (128 444 €)</t>
        </is>
      </c>
    </row>
    <row r="265">
      <c r="A265" s="2">
        <v>264</v>
      </c>
      <c r="B265" s="2">
        <v>227</v>
      </c>
      <c r="C265" t="inlineStr" s="0">
        <is>
          <t>TAMPEREEN SEUDUN OMAISHOITAJAT RY</t>
        </is>
      </c>
      <c r="D265" s="2">
        <v>286000.0</v>
      </c>
      <c r="E265" s="2">
        <v>286000.0</v>
      </c>
      <c r="F265" s="2">
        <v>0.0</v>
      </c>
      <c r="G265" s="2">
        <v>100.0</v>
      </c>
      <c r="H265" s="2">
        <v>1</v>
      </c>
      <c r="I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1</v>
      </c>
      <c r="I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100.0</v>
      </c>
      <c r="H267" s="2">
        <v>1</v>
      </c>
      <c r="I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36.5</v>
      </c>
      <c r="H268" s="2">
        <v>2</v>
      </c>
      <c r="I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100.0</v>
      </c>
      <c r="H269" s="2">
        <v>2</v>
      </c>
      <c r="I269" t="inlineStr" s="0">
        <is>
          <t>Ak 10277: OLKA-toimintamallin mukaiseen vapaaehtoistoiminnan suunnitteluun  koordinointiin  kehittämiseen ja toteuttamiseen sekä julkisen terveydenhuollon ja järjestöjen yhteistyöhön (OLKA-toiminta Pohjanmaan hyvinvointialueella) (116 550 €) | Ak 1: Järjestöjen toimintaedellytysten tukemiseen Pohjanmaalla koordinoimalla järjestökeskuksen ja kohtaamispaikan toimintaa sekä edistämällä vapaaehtois- ja vertaistoimintaa. (165 560 €)</t>
        </is>
      </c>
    </row>
    <row r="270">
      <c r="A270" s="2">
        <v>269</v>
      </c>
      <c r="B270" s="2">
        <v>284</v>
      </c>
      <c r="C270" t="inlineStr" s="0">
        <is>
          <t>MIELI Lakeuden Mielenterveys ry</t>
        </is>
      </c>
      <c r="D270" s="2">
        <v>280586.0</v>
      </c>
      <c r="E270" s="2">
        <v>280586.0</v>
      </c>
      <c r="F270" s="2">
        <v>0.0</v>
      </c>
      <c r="G270" s="2">
        <v>100.0</v>
      </c>
      <c r="H270" s="2">
        <v>1</v>
      </c>
      <c r="I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100.0</v>
      </c>
      <c r="H271" s="2">
        <v>1</v>
      </c>
      <c r="I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100.0</v>
      </c>
      <c r="H272" s="2">
        <v>1</v>
      </c>
      <c r="I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16.4</v>
      </c>
      <c r="H273" s="2">
        <v>2</v>
      </c>
      <c r="I273" t="inlineStr" s="0">
        <is>
          <t>Ak 9737: Migreeniä ja vaikeita päänsärkysairauksia sairastavien hyvinvoinnin  toimintakyvyn  työelämäosallisuuden ja yhdenvertaisuuden edistämiseen ammatillisesti organisoidun vapaaehtoistoiminnan keinoin (46 000 €) | Ay 1: Yleisavustuksena avustuksen saajan yleishyödylliseen toimintaan (233 856 €)</t>
        </is>
      </c>
    </row>
    <row r="274">
      <c r="A274" s="2">
        <v>273</v>
      </c>
      <c r="B274" s="2">
        <v>865</v>
      </c>
      <c r="C274" t="inlineStr" s="0">
        <is>
          <t>TURVALINKKI RY</t>
        </is>
      </c>
      <c r="D274" s="2">
        <v>279736.0</v>
      </c>
      <c r="E274" s="2">
        <v>279736.0</v>
      </c>
      <c r="F274" s="2">
        <v>0.0</v>
      </c>
      <c r="G274" s="2">
        <v>100.0</v>
      </c>
      <c r="H274" s="2">
        <v>2</v>
      </c>
      <c r="I274" t="inlineStr" s="0">
        <is>
          <t>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 | Ak 2: Mielenterveys- ja päihdekuntoutujien tai muusta syystä arjessa lisätukea tarvitsevien osallisuuden vahvistamiseen ja kuntoutumisen tukeen kohtaamispaikka- ja ryhmätoiminnoilla (Kuopion Päiväntasaaja) (150 942 €)</t>
        </is>
      </c>
    </row>
    <row r="275">
      <c r="A275" s="2">
        <v>274</v>
      </c>
      <c r="B275" s="2">
        <v>1022</v>
      </c>
      <c r="C275" t="inlineStr" s="0">
        <is>
          <t>Äidit irti synnytysmasennuksesta ÄIMÄ ry</t>
        </is>
      </c>
      <c r="D275" s="2">
        <v>277218.0</v>
      </c>
      <c r="E275" s="2">
        <v>277218.0</v>
      </c>
      <c r="F275" s="2">
        <v>0.0</v>
      </c>
      <c r="G275" s="2">
        <v>100.0</v>
      </c>
      <c r="H275" s="2">
        <v>1</v>
      </c>
      <c r="I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100.0</v>
      </c>
      <c r="H276" s="2">
        <v>1</v>
      </c>
      <c r="I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17.3</v>
      </c>
      <c r="H277" s="2">
        <v>2</v>
      </c>
      <c r="I277" t="inlineStr" s="0">
        <is>
          <t>Ak 1: Yhdistysten tietoteknisten toimintaedellytysten ja osaamisen lisäämiseen sekä kansalaisten digiosaamisen edistämiseen Pohjois-Karjalassa. (47 500 €) | Ay 1538: Yleisavustuksena avustuksen saajan yleishyödylliseen toimintaan (226 560 €)</t>
        </is>
      </c>
    </row>
    <row r="278">
      <c r="A278" s="2">
        <v>277</v>
      </c>
      <c r="B278" s="2">
        <v>727</v>
      </c>
      <c r="C278" t="inlineStr" s="0">
        <is>
          <t>MIELI Kainuun mielenterveys ry</t>
        </is>
      </c>
      <c r="D278" s="2">
        <v>274038.0</v>
      </c>
      <c r="E278" s="2">
        <v>274038.0</v>
      </c>
      <c r="F278" s="2">
        <v>0.0</v>
      </c>
      <c r="G278" s="2">
        <v>100.0</v>
      </c>
      <c r="H278" s="2">
        <v>1</v>
      </c>
      <c r="I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100.0</v>
      </c>
      <c r="H279" s="2">
        <v>1</v>
      </c>
      <c r="I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100.0</v>
      </c>
      <c r="H280" s="2">
        <v>1</v>
      </c>
      <c r="I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100.0</v>
      </c>
      <c r="H281" s="2">
        <v>2</v>
      </c>
      <c r="I281" t="inlineStr" s="0">
        <is>
          <t>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 | 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t>
        </is>
      </c>
    </row>
    <row r="282">
      <c r="A282" s="2">
        <v>281</v>
      </c>
      <c r="B282" s="2">
        <v>753</v>
      </c>
      <c r="C282" t="inlineStr" s="0">
        <is>
          <t>ELÄMÄNI SANKARI RY</t>
        </is>
      </c>
      <c r="D282" s="2">
        <v>269363.0</v>
      </c>
      <c r="E282" s="2">
        <v>269363.0</v>
      </c>
      <c r="F282" s="2">
        <v>0.0</v>
      </c>
      <c r="G282" s="2">
        <v>100.0</v>
      </c>
      <c r="H282" s="2">
        <v>1</v>
      </c>
      <c r="I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100.0</v>
      </c>
      <c r="H283" s="2">
        <v>1</v>
      </c>
      <c r="I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100.0</v>
      </c>
      <c r="H284" s="2">
        <v>2</v>
      </c>
      <c r="I284" t="inlineStr" s="0">
        <is>
          <t>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 | Ak 9: Yksilö-  pari- ja ryhmämuotoiseen avokriisityöhön perhe- ja lähisuhdeväkivallan kokijoiden  tekijöiden ja altistuneiden kanssa sekä ennaltaehkäisevään lähisuhdeväkivaltatyöhön nuorten parissa ja hyvinvointialueelle (Lähisuhdeväkivaltatyön avopalvelu) (162 000 €)</t>
        </is>
      </c>
    </row>
    <row r="285">
      <c r="A285" s="2">
        <v>284</v>
      </c>
      <c r="B285" s="2">
        <v>436</v>
      </c>
      <c r="C285" t="inlineStr" s="0">
        <is>
          <t>AHJOLAN SETLEMENTTI RY</t>
        </is>
      </c>
      <c r="D285" s="2">
        <v>267784.0</v>
      </c>
      <c r="E285" s="2">
        <v>267784.0</v>
      </c>
      <c r="F285" s="2">
        <v>0.0</v>
      </c>
      <c r="G285" s="2">
        <v>100.0</v>
      </c>
      <c r="H285" s="2">
        <v>2</v>
      </c>
      <c r="I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100.0</v>
      </c>
      <c r="H286" s="2">
        <v>1</v>
      </c>
      <c r="I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100.0</v>
      </c>
      <c r="H287" s="2">
        <v>2</v>
      </c>
      <c r="I287" t="inlineStr" s="0">
        <is>
          <t>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 | Ak 11: Kipukroonikoiden ja heidän läheistensä osallisuuden edistämiseen ja arjen toimintakyvyn tukemiseen tiedon jakamisen  vertaistuen  arjen- ja kivunhallintakeinojen  yhteistyön ja vaikuttamistoiminnan keinoin. (145 171 €)</t>
        </is>
      </c>
    </row>
    <row r="288">
      <c r="A288" s="2">
        <v>287</v>
      </c>
      <c r="B288" s="2">
        <v>563</v>
      </c>
      <c r="C288" t="inlineStr" s="0">
        <is>
          <t>ASUMISTERVEYSLIITTO ASTE RY</t>
        </is>
      </c>
      <c r="D288" s="2">
        <v>265000.0</v>
      </c>
      <c r="E288" s="2">
        <v>265000.0</v>
      </c>
      <c r="F288" s="2">
        <v>0.0</v>
      </c>
      <c r="G288" s="2">
        <v>100.0</v>
      </c>
      <c r="H288" s="2">
        <v>1</v>
      </c>
      <c r="I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100.0</v>
      </c>
      <c r="H289" s="2">
        <v>1</v>
      </c>
      <c r="I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100.0</v>
      </c>
      <c r="H290" s="2">
        <v>1</v>
      </c>
      <c r="I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100.0</v>
      </c>
      <c r="H291" s="2">
        <v>1</v>
      </c>
      <c r="I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32.9</v>
      </c>
      <c r="H292" s="2">
        <v>2</v>
      </c>
      <c r="I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100.0</v>
      </c>
      <c r="H293" s="2">
        <v>1</v>
      </c>
      <c r="I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100.0</v>
      </c>
      <c r="H294" s="2">
        <v>1</v>
      </c>
      <c r="I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100.0</v>
      </c>
      <c r="H295" s="2">
        <v>1</v>
      </c>
      <c r="I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100.0</v>
      </c>
      <c r="H296" s="2">
        <v>2</v>
      </c>
      <c r="I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100.0</v>
      </c>
      <c r="H297" s="2">
        <v>1</v>
      </c>
      <c r="I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100.0</v>
      </c>
      <c r="H298" s="2">
        <v>2</v>
      </c>
      <c r="I298" t="inlineStr" s="0">
        <is>
          <t>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 | Ak 11025: Ruoka-apua hakevien toimijuutta ja osallisuutta vahvistavaan  kohtaamispaikkatoimintaan (ViaDia Joensuun Laituri) (133 753 €)</t>
        </is>
      </c>
    </row>
    <row r="299">
      <c r="A299" s="2">
        <v>298</v>
      </c>
      <c r="B299" s="2">
        <v>94</v>
      </c>
      <c r="C299" t="inlineStr" s="0">
        <is>
          <t>KAUHAVAN SEUDUN VANHUSTENKOTIYHDISTYS RY</t>
        </is>
      </c>
      <c r="D299" s="2">
        <v>254678.0</v>
      </c>
      <c r="E299" s="2">
        <v>254678.0</v>
      </c>
      <c r="F299" s="2">
        <v>0.0</v>
      </c>
      <c r="G299" s="2">
        <v>100.0</v>
      </c>
      <c r="H299" s="2">
        <v>1</v>
      </c>
      <c r="I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66.1</v>
      </c>
      <c r="H300" s="2">
        <v>5</v>
      </c>
      <c r="I300" t="inlineStr" s="0">
        <is>
          <t>Ay 6280: Yleisavustuksena avustuksen saajan yleishyödylliseen toimintaan (86 083 €) | Ak 11316: Haavoittuvassa asemassa olevien nuorten aikuisten mielenterveyden vahvistamiseen  voimavarojen lisäämiseen sekä yksinäisyyden vähentämiseen verkossa toteutettavalla vertaisryhmätoiminnalla (26 667 €) | Ak 4418: Nuorten työelämä- ja opiskeluosallisuuden  aktiivisen toimijuuden ja mielenterveyden edistämiseen sekä terveyttä edistävien elämäntapojen vahvistamiseen ryhmämuotoisen Ink-tiimitoiminnan avulla (66 667 €)</t>
        </is>
      </c>
    </row>
    <row r="301">
      <c r="A301" s="2">
        <v>300</v>
      </c>
      <c r="B301" s="2">
        <v>908</v>
      </c>
      <c r="C301" t="inlineStr" s="0">
        <is>
          <t>VIRIKE RY</t>
        </is>
      </c>
      <c r="D301" s="2">
        <v>253365.0</v>
      </c>
      <c r="E301" s="2">
        <v>253365.0</v>
      </c>
      <c r="F301" s="2">
        <v>0.0</v>
      </c>
      <c r="G301" s="2">
        <v>100.0</v>
      </c>
      <c r="H301" s="2">
        <v>1</v>
      </c>
      <c r="I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100.0</v>
      </c>
      <c r="H302" s="2">
        <v>1</v>
      </c>
      <c r="I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1</v>
      </c>
      <c r="I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100.0</v>
      </c>
      <c r="H304" s="2">
        <v>2</v>
      </c>
      <c r="I304" t="inlineStr" s="0">
        <is>
          <t>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 | Ak 12807: Nuorten tyttöjen alkavien mielenterveysoireiden varhaiseen tunnistamiseen ja suojaavien tekijöiden lisäämiseen kehitettyyn Tyttö olet helmi! -etäohjaukseen  joka on suunnattu yläkouluikäikäisille tytöille ja heidän äideilleen (Tyttö olet helmi! -toiminta) (155 400 €)</t>
        </is>
      </c>
    </row>
    <row r="305">
      <c r="A305" s="2">
        <v>304</v>
      </c>
      <c r="B305" s="2">
        <v>1164</v>
      </c>
      <c r="C305" t="inlineStr" s="0">
        <is>
          <t>BALANSSI RY</t>
        </is>
      </c>
      <c r="D305" s="2">
        <v>250000.0</v>
      </c>
      <c r="E305" s="2">
        <v>250000.0</v>
      </c>
      <c r="F305" s="2">
        <v>0.0</v>
      </c>
      <c r="G305" s="2">
        <v>100.0</v>
      </c>
      <c r="H305" s="2">
        <v>1</v>
      </c>
      <c r="I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100.0</v>
      </c>
      <c r="H306" s="2">
        <v>2</v>
      </c>
      <c r="I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100.0</v>
      </c>
      <c r="H307" s="2">
        <v>1</v>
      </c>
      <c r="I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100.0</v>
      </c>
      <c r="H308" s="2">
        <v>1</v>
      </c>
      <c r="I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36.8</v>
      </c>
      <c r="H309" s="2">
        <v>2</v>
      </c>
      <c r="I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100.0</v>
      </c>
      <c r="H310" s="2">
        <v>1</v>
      </c>
      <c r="I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100.0</v>
      </c>
      <c r="H311" s="2">
        <v>2</v>
      </c>
      <c r="I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100.0</v>
      </c>
      <c r="H312" s="2">
        <v>2</v>
      </c>
      <c r="I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100.0</v>
      </c>
      <c r="H313" s="2">
        <v>2</v>
      </c>
      <c r="I313" t="inlineStr" s="0">
        <is>
          <t>Ak 11168: Kuulovammaisten lasten kielen ja kuulon kehittymisen tukemiseen ja lapsen ja vanhemman vuorovaikutuksen  edistämiseen puhe-  kuulo- ja etämuskaritoiminnan  tapahtumien ja koulutusten keinoin (107 500 €) | Ak 5: Sisäkorvaistutteen saaneiden lasten ja nuorten sekä heidän perheidensä toimintakyvyn ja identiteetin vahvistumiseen ja hyvinvoinnin lisäämiseen vertaistuen  tapahtumien  oikeuksienvalvonnan  tiedontuotannon ja viestinnän avulla (131 314 €)</t>
        </is>
      </c>
    </row>
    <row r="314">
      <c r="A314" s="2">
        <v>313</v>
      </c>
      <c r="B314" s="2">
        <v>476</v>
      </c>
      <c r="C314" t="inlineStr" s="0">
        <is>
          <t>Tuki- ja liikuntaelinliitto Tule ry, Stöd- och rörelseorganförbundet i Finland rf</t>
        </is>
      </c>
      <c r="D314" s="2">
        <v>237937.0</v>
      </c>
      <c r="E314" s="2">
        <v>237937.0</v>
      </c>
      <c r="F314" s="2">
        <v>0.0</v>
      </c>
      <c r="G314" s="2">
        <v>100.0</v>
      </c>
      <c r="H314" s="2">
        <v>1</v>
      </c>
      <c r="I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42.3</v>
      </c>
      <c r="H315" s="2">
        <v>2</v>
      </c>
      <c r="I315" t="inlineStr" s="0">
        <is>
          <t>Ak 2: Poliovammaisten toimintakyvyn ylläpitoon ja voimavarojen vahvistamiseen järjestölähtöisellä ja vertaistuellisella ryhmätoiminnalla
- alueellisiin avo- ja laitoskursseihin
- verkossa tapahtuvaan ryhmätoimintaan (99 000 €) | Ay 1: Yleisavustuksena avustuksen saajan yleishyödylliseen toimintaan (135 000 €)</t>
        </is>
      </c>
    </row>
    <row r="316">
      <c r="A316" s="2">
        <v>315</v>
      </c>
      <c r="B316" s="2">
        <v>1134</v>
      </c>
      <c r="C316" t="inlineStr" s="0">
        <is>
          <t>Hope - Yhdessä &amp; Yhteisesti ry</t>
        </is>
      </c>
      <c r="D316" s="2">
        <v>233198.0</v>
      </c>
      <c r="E316" s="2">
        <v>233198.0</v>
      </c>
      <c r="F316" s="2">
        <v>0.0</v>
      </c>
      <c r="G316" s="2">
        <v>100.0</v>
      </c>
      <c r="H316" s="2">
        <v>1</v>
      </c>
      <c r="I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100.0</v>
      </c>
      <c r="H317" s="2">
        <v>1</v>
      </c>
      <c r="I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61463.0</v>
      </c>
      <c r="G318" s="2">
        <v>73.3</v>
      </c>
      <c r="H318" s="2">
        <v>4</v>
      </c>
      <c r="I318" t="inlineStr" s="0">
        <is>
          <t>Ak 6079: Jäsenjärjestöille kohdistettaviin avustuksiin (21 000 €) | Ak 1: Romanijärjestöjen toimintaedellytysten vahvistamiseen sekä romaniväestön osallisuuden ja koulutus- ja työllisyystilanteen edistämiseen koulutusten  neuvonnan  tiedottamisen  matalan kynnyksen toiminnan sekä vertais- ja vaikuttamistoiminnan avulla. (148 077 €)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66.8</v>
      </c>
      <c r="H319" s="2">
        <v>2</v>
      </c>
      <c r="I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100.0</v>
      </c>
      <c r="H320" s="2">
        <v>1</v>
      </c>
      <c r="I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100.0</v>
      </c>
      <c r="H321" s="2">
        <v>2</v>
      </c>
      <c r="I321" t="inlineStr" s="0">
        <is>
          <t>Ak 2402: Alle 30-vuotiaiden nuorten ja nuorten aikuisten sosiaalisen jännittämisen lievittämiseen  psyykkisen ja sosiaalisen toimintakyvyn edistämiseen sekä työelämäosallisuuden  vahvistamiseen ohjauksella ja ryhmätoiminnoilla Kotkassa ja Haminassa (Avittaja) (78 864 €) | Ak 9661: Yli 60-vuotiaiden digitaalisten taitojen vahvistamiseen ja syrjäytymisen ehkäisemiseen matalan kynnyksen kurssitoiminnalla Kymenlaaksossa (150 696 €)</t>
        </is>
      </c>
    </row>
    <row r="322">
      <c r="A322" s="2">
        <v>321</v>
      </c>
      <c r="B322" s="2">
        <v>1212</v>
      </c>
      <c r="C322" t="inlineStr" s="0">
        <is>
          <t>Phoenix ry</t>
        </is>
      </c>
      <c r="D322" s="2">
        <v>229374.0</v>
      </c>
      <c r="E322" s="2">
        <v>186000.0</v>
      </c>
      <c r="F322" s="2">
        <v>43374.0</v>
      </c>
      <c r="G322" s="2">
        <v>81.1</v>
      </c>
      <c r="H322" s="2">
        <v>2</v>
      </c>
      <c r="I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100.0</v>
      </c>
      <c r="H323" s="2">
        <v>1</v>
      </c>
      <c r="I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100.0</v>
      </c>
      <c r="H324" s="2">
        <v>1</v>
      </c>
      <c r="I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100.0</v>
      </c>
      <c r="H325" s="2">
        <v>1</v>
      </c>
      <c r="I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100.0</v>
      </c>
      <c r="H326" s="2">
        <v>1</v>
      </c>
      <c r="I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100.0</v>
      </c>
      <c r="H327" s="2">
        <v>1</v>
      </c>
      <c r="I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100.0</v>
      </c>
      <c r="H328" s="2">
        <v>1</v>
      </c>
      <c r="I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100.0</v>
      </c>
      <c r="H329" s="2">
        <v>1</v>
      </c>
      <c r="I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100.0</v>
      </c>
      <c r="H330" s="2">
        <v>1</v>
      </c>
      <c r="I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100.0</v>
      </c>
      <c r="H331" s="2">
        <v>1</v>
      </c>
      <c r="I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1</v>
      </c>
      <c r="I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1</v>
      </c>
      <c r="I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100.0</v>
      </c>
      <c r="H334" s="2">
        <v>1</v>
      </c>
      <c r="I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100.0</v>
      </c>
      <c r="H335" s="2">
        <v>1</v>
      </c>
      <c r="I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100.0</v>
      </c>
      <c r="H336" s="2">
        <v>1</v>
      </c>
      <c r="I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100.0</v>
      </c>
      <c r="H337" s="2">
        <v>1</v>
      </c>
      <c r="I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1</v>
      </c>
      <c r="I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100.0</v>
      </c>
      <c r="H339" s="2">
        <v>1</v>
      </c>
      <c r="I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100.0</v>
      </c>
      <c r="H340" s="2">
        <v>1</v>
      </c>
      <c r="I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20.9</v>
      </c>
      <c r="H341" s="2">
        <v>2</v>
      </c>
      <c r="I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100.0</v>
      </c>
      <c r="H342" s="2">
        <v>3</v>
      </c>
      <c r="I342" t="inlineStr" s="0">
        <is>
          <t>Ak 7136: Sosiaali- ja terveyspalveluiden potilaiden ja asiakkaiden oikeuksien edistämiseen  tiedottamisen  maksuttoman juridisen neuvonnan sekä koulutusten avulla (97 125 €) | Ak 9427: Jäsenjärjestöille kohdistettaviin avustuksiin (41 687 €) | Ak 2: Asumisesta aiheutuvien sosiaalisten  taloudellisten ja oikeudellisten ongelmien ennaltaehkäisyyn ja ratkaisemiseen asumisasiamiehen neuvonta- ja koulutustoiminnalla (73 481 €)</t>
        </is>
      </c>
    </row>
    <row r="343">
      <c r="A343" s="2">
        <v>342</v>
      </c>
      <c r="B343" s="2">
        <v>225</v>
      </c>
      <c r="C343" t="inlineStr" s="0">
        <is>
          <t>KESÄLUKIOSEURA RY</t>
        </is>
      </c>
      <c r="D343" s="2">
        <v>212000.0</v>
      </c>
      <c r="E343" s="2">
        <v>212000.0</v>
      </c>
      <c r="F343" s="2">
        <v>0.0</v>
      </c>
      <c r="G343" s="2">
        <v>100.0</v>
      </c>
      <c r="H343" s="2">
        <v>1</v>
      </c>
      <c r="I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100.0</v>
      </c>
      <c r="H344" s="2">
        <v>1</v>
      </c>
      <c r="I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100.0</v>
      </c>
      <c r="H345" s="2">
        <v>1</v>
      </c>
      <c r="I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100.0</v>
      </c>
      <c r="H346" s="2">
        <v>1</v>
      </c>
      <c r="I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100.0</v>
      </c>
      <c r="H347" s="2">
        <v>1</v>
      </c>
      <c r="I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100.0</v>
      </c>
      <c r="H348" s="2">
        <v>1</v>
      </c>
      <c r="I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100.0</v>
      </c>
      <c r="H349" s="2">
        <v>1</v>
      </c>
      <c r="I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100.0</v>
      </c>
      <c r="H350" s="2">
        <v>1</v>
      </c>
      <c r="I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100.0</v>
      </c>
      <c r="H351" s="2">
        <v>1</v>
      </c>
      <c r="I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100.0</v>
      </c>
      <c r="H352" s="2">
        <v>1</v>
      </c>
      <c r="I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9.9</v>
      </c>
      <c r="H353" s="2">
        <v>2</v>
      </c>
      <c r="I353" t="inlineStr" s="0">
        <is>
          <t>Ak 2: Jäsenjärjestöille kohdistettaviin avustuksiin (20 500 €) | Ay 1: Yleisavustuksena avustuksen saajan yleishyödylliseen toimintaan (186 323 €)</t>
        </is>
      </c>
    </row>
    <row r="354">
      <c r="A354" s="2">
        <v>353</v>
      </c>
      <c r="B354" s="2">
        <v>123</v>
      </c>
      <c r="C354" t="inlineStr" s="0">
        <is>
          <t>MIELI Etelä-Karjalan mielenterveys ry</t>
        </is>
      </c>
      <c r="D354" s="2">
        <v>205065.0</v>
      </c>
      <c r="E354" s="2">
        <v>205065.0</v>
      </c>
      <c r="F354" s="2">
        <v>0.0</v>
      </c>
      <c r="G354" s="2">
        <v>100.0</v>
      </c>
      <c r="H354" s="2">
        <v>1</v>
      </c>
      <c r="I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100.0</v>
      </c>
      <c r="H355" s="2">
        <v>2</v>
      </c>
      <c r="I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100.0</v>
      </c>
      <c r="H356" s="2">
        <v>1</v>
      </c>
      <c r="I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100.0</v>
      </c>
      <c r="H357" s="2">
        <v>1</v>
      </c>
      <c r="I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100.0</v>
      </c>
      <c r="H358" s="2">
        <v>2</v>
      </c>
      <c r="I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100.0</v>
      </c>
      <c r="H359" s="2">
        <v>1</v>
      </c>
      <c r="I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100.0</v>
      </c>
      <c r="H360" s="2">
        <v>1</v>
      </c>
      <c r="I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100.0</v>
      </c>
      <c r="H361" s="2">
        <v>1</v>
      </c>
      <c r="I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100.0</v>
      </c>
      <c r="H362" s="2">
        <v>1</v>
      </c>
      <c r="I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100.0</v>
      </c>
      <c r="H363" s="2">
        <v>1</v>
      </c>
      <c r="I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100.0</v>
      </c>
      <c r="H364" s="2">
        <v>1</v>
      </c>
      <c r="I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100.0</v>
      </c>
      <c r="H365" s="2">
        <v>1</v>
      </c>
      <c r="I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100.0</v>
      </c>
      <c r="H366" s="2">
        <v>1</v>
      </c>
      <c r="I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6.2</v>
      </c>
      <c r="H367" s="2">
        <v>2</v>
      </c>
      <c r="I367" t="inlineStr" s="0">
        <is>
          <t>Ak 3: Jäsenjärjestöille kohdistettaviin avustuksiin (12 000 €) | Ay 1: Yleisavustuksena avustuksen saajan yleishyödylliseen toimintaan (182 700 €)</t>
        </is>
      </c>
    </row>
    <row r="368">
      <c r="A368" s="2">
        <v>367</v>
      </c>
      <c r="B368" s="2">
        <v>163</v>
      </c>
      <c r="C368" t="inlineStr" s="0">
        <is>
          <t>MIELI Hyvinkään seudun mielenterveys ry</t>
        </is>
      </c>
      <c r="D368" s="2">
        <v>193871.0</v>
      </c>
      <c r="E368" s="2">
        <v>193871.0</v>
      </c>
      <c r="F368" s="2">
        <v>0.0</v>
      </c>
      <c r="G368" s="2">
        <v>100.0</v>
      </c>
      <c r="H368" s="2">
        <v>1</v>
      </c>
      <c r="I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100.0</v>
      </c>
      <c r="H369" s="2">
        <v>1</v>
      </c>
      <c r="I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100.0</v>
      </c>
      <c r="H370" s="2">
        <v>1</v>
      </c>
      <c r="I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100.0</v>
      </c>
      <c r="H371" s="2">
        <v>1</v>
      </c>
      <c r="I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100.0</v>
      </c>
      <c r="H372" s="2">
        <v>1</v>
      </c>
      <c r="I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100.0</v>
      </c>
      <c r="H373" s="2">
        <v>1</v>
      </c>
      <c r="I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100.0</v>
      </c>
      <c r="H374" s="2">
        <v>1</v>
      </c>
      <c r="I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38787.0</v>
      </c>
      <c r="G375" s="2">
        <v>79.5</v>
      </c>
      <c r="H375" s="2">
        <v>2</v>
      </c>
      <c r="I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100.0</v>
      </c>
      <c r="H376" s="2">
        <v>1</v>
      </c>
      <c r="I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100.0</v>
      </c>
      <c r="H377" s="2">
        <v>1</v>
      </c>
      <c r="I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100.0</v>
      </c>
      <c r="H378" s="2">
        <v>1</v>
      </c>
      <c r="I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100.0</v>
      </c>
      <c r="H379" s="2">
        <v>1</v>
      </c>
      <c r="I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100.0</v>
      </c>
      <c r="H380" s="2">
        <v>1</v>
      </c>
      <c r="I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100.0</v>
      </c>
      <c r="H381" s="2">
        <v>1</v>
      </c>
      <c r="I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100.0</v>
      </c>
      <c r="H382" s="2">
        <v>1</v>
      </c>
      <c r="I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100.0</v>
      </c>
      <c r="H383" s="2">
        <v>1</v>
      </c>
      <c r="I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100.0</v>
      </c>
      <c r="H384" s="2">
        <v>1</v>
      </c>
      <c r="I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100.0</v>
      </c>
      <c r="H385" s="2">
        <v>1</v>
      </c>
      <c r="I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100.0</v>
      </c>
      <c r="H386" s="2">
        <v>1</v>
      </c>
      <c r="I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100.0</v>
      </c>
      <c r="H387" s="2">
        <v>1</v>
      </c>
      <c r="I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100.0</v>
      </c>
      <c r="H388" s="2">
        <v>1</v>
      </c>
      <c r="I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100.0</v>
      </c>
      <c r="H389" s="2">
        <v>1</v>
      </c>
      <c r="I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100.0</v>
      </c>
      <c r="H390" s="2">
        <v>2</v>
      </c>
      <c r="I390" t="inlineStr" s="0">
        <is>
          <t>Ak 9642: Ammatillisesti koordinoitua vapaaehtoisten aikuisten tukihenkilötoimintaa lasten ja nuorten tukiverkoston laajentamiseksi ja hyvinvoinnin edistämiseksi Lahden seudulla (OmaKamu) (68 250 €) | Ak 2: Matalan kynnyksen tukea  neuvontaa ja jälkihoitoa kiusaamista kokeneille  läheisille sekä eri alojen ammattilaisille (Valopilkku) (105 000 €)</t>
        </is>
      </c>
    </row>
    <row r="391">
      <c r="A391" s="2">
        <v>390</v>
      </c>
      <c r="B391" s="2">
        <v>433</v>
      </c>
      <c r="C391" t="inlineStr" s="0">
        <is>
          <t>Parempi avioliitto ry</t>
        </is>
      </c>
      <c r="D391" s="2">
        <v>171500.0</v>
      </c>
      <c r="E391" s="2">
        <v>171500.0</v>
      </c>
      <c r="F391" s="2">
        <v>0.0</v>
      </c>
      <c r="G391" s="2">
        <v>100.0</v>
      </c>
      <c r="H391" s="2">
        <v>1</v>
      </c>
      <c r="I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100.0</v>
      </c>
      <c r="H392" s="2">
        <v>1</v>
      </c>
      <c r="I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100.0</v>
      </c>
      <c r="H393" s="2">
        <v>1</v>
      </c>
      <c r="I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100.0</v>
      </c>
      <c r="H394" s="2">
        <v>1</v>
      </c>
      <c r="I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100.0</v>
      </c>
      <c r="H395" s="2">
        <v>1</v>
      </c>
      <c r="I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100.0</v>
      </c>
      <c r="H396" s="2">
        <v>1</v>
      </c>
      <c r="I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100.0</v>
      </c>
      <c r="H397" s="2">
        <v>1</v>
      </c>
      <c r="I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100.0</v>
      </c>
      <c r="H398" s="2">
        <v>1</v>
      </c>
      <c r="I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100.0</v>
      </c>
      <c r="H399" s="2">
        <v>1</v>
      </c>
      <c r="I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100.0</v>
      </c>
      <c r="H400" s="2">
        <v>1</v>
      </c>
      <c r="I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100.0</v>
      </c>
      <c r="H401" s="2">
        <v>1</v>
      </c>
      <c r="I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100.0</v>
      </c>
      <c r="H402" s="2">
        <v>1</v>
      </c>
      <c r="I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100.0</v>
      </c>
      <c r="H403" s="2">
        <v>1</v>
      </c>
      <c r="I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100.0</v>
      </c>
      <c r="H404" s="2">
        <v>1</v>
      </c>
      <c r="I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100.0</v>
      </c>
      <c r="H405" s="2">
        <v>1</v>
      </c>
      <c r="I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100.0</v>
      </c>
      <c r="H406" s="2">
        <v>1</v>
      </c>
      <c r="I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100.0</v>
      </c>
      <c r="H407" s="2">
        <v>1</v>
      </c>
      <c r="I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100.0</v>
      </c>
      <c r="H408" s="2">
        <v>1</v>
      </c>
      <c r="I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100.0</v>
      </c>
      <c r="H409" s="2">
        <v>1</v>
      </c>
      <c r="I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100.0</v>
      </c>
      <c r="H410" s="2">
        <v>1</v>
      </c>
      <c r="I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100.0</v>
      </c>
      <c r="H411" s="2">
        <v>1</v>
      </c>
      <c r="I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100.0</v>
      </c>
      <c r="H412" s="2">
        <v>1</v>
      </c>
      <c r="I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100.0</v>
      </c>
      <c r="H413" s="2">
        <v>1</v>
      </c>
      <c r="I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100.0</v>
      </c>
      <c r="H414" s="2">
        <v>1</v>
      </c>
      <c r="I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100.0</v>
      </c>
      <c r="H415" s="2">
        <v>1</v>
      </c>
      <c r="I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100.0</v>
      </c>
      <c r="H416" s="2">
        <v>1</v>
      </c>
      <c r="I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100.0</v>
      </c>
      <c r="H417" s="2">
        <v>1</v>
      </c>
      <c r="I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100.0</v>
      </c>
      <c r="H418" s="2">
        <v>1</v>
      </c>
      <c r="I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100.0</v>
      </c>
      <c r="H419" s="2">
        <v>1</v>
      </c>
      <c r="I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100.0</v>
      </c>
      <c r="H420" s="2">
        <v>1</v>
      </c>
      <c r="I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100.0</v>
      </c>
      <c r="H421" s="2">
        <v>1</v>
      </c>
      <c r="I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100.0</v>
      </c>
      <c r="H422" s="2">
        <v>2</v>
      </c>
      <c r="I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17700.0</v>
      </c>
      <c r="G423" s="2">
        <v>88.7</v>
      </c>
      <c r="H423" s="2">
        <v>2</v>
      </c>
      <c r="I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100.0</v>
      </c>
      <c r="H424" s="2">
        <v>1</v>
      </c>
      <c r="I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100.0</v>
      </c>
      <c r="H425" s="2">
        <v>1</v>
      </c>
      <c r="I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100.0</v>
      </c>
      <c r="H426" s="2">
        <v>1</v>
      </c>
      <c r="I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100.0</v>
      </c>
      <c r="H427" s="2">
        <v>1</v>
      </c>
      <c r="I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100.0</v>
      </c>
      <c r="H428" s="2">
        <v>1</v>
      </c>
      <c r="I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100.0</v>
      </c>
      <c r="H429" s="2">
        <v>1</v>
      </c>
      <c r="I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100.0</v>
      </c>
      <c r="H430" s="2">
        <v>1</v>
      </c>
      <c r="I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100.0</v>
      </c>
      <c r="H431" s="2">
        <v>1</v>
      </c>
      <c r="I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45888.0</v>
      </c>
      <c r="G432" s="2">
        <v>70.4</v>
      </c>
      <c r="H432" s="2">
        <v>2</v>
      </c>
      <c r="I432" t="inlineStr" s="0">
        <is>
          <t>C 13703: Euroopan sosiaalirahasto plussan (ESR+) hankkeen "Kokemuksella Kymenlaakso" osarahoitukseen järjestölle (2025-2028) (45 888 €) | Ak 1: Kouvolan seudun vammais- ja pitkäaikaissairausjärjestöjen sekä hyvinvointialalla toimivien yhdistysten toimintaedellytysten  yhteistyön ja kehittämisen tukemiseen. Kaikille suunnatun avoimen toiminnan ja osallisuuden lisäämiseen. (109 021 €)</t>
        </is>
      </c>
    </row>
    <row r="433">
      <c r="A433" s="2">
        <v>432</v>
      </c>
      <c r="B433" s="2">
        <v>214</v>
      </c>
      <c r="C433" t="inlineStr" s="0">
        <is>
          <t>NÄKÖVAMMAISET LAPSET RY, SYNSKADADE BARN RF</t>
        </is>
      </c>
      <c r="D433" s="2">
        <v>154890.0</v>
      </c>
      <c r="E433" s="2">
        <v>154890.0</v>
      </c>
      <c r="F433" s="2">
        <v>0.0</v>
      </c>
      <c r="G433" s="2">
        <v>100.0</v>
      </c>
      <c r="H433" s="2">
        <v>1</v>
      </c>
      <c r="I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100.0</v>
      </c>
      <c r="H434" s="2">
        <v>1</v>
      </c>
      <c r="I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100.0</v>
      </c>
      <c r="H435" s="2">
        <v>1</v>
      </c>
      <c r="I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100.0</v>
      </c>
      <c r="H436" s="2">
        <v>1</v>
      </c>
      <c r="I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100.0</v>
      </c>
      <c r="H437" s="2">
        <v>1</v>
      </c>
      <c r="I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1</v>
      </c>
      <c r="I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100.0</v>
      </c>
      <c r="H439" s="2">
        <v>1</v>
      </c>
      <c r="I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100.0</v>
      </c>
      <c r="H440" s="2">
        <v>1</v>
      </c>
      <c r="I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100.0</v>
      </c>
      <c r="H441" s="2">
        <v>1</v>
      </c>
      <c r="I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100.0</v>
      </c>
      <c r="H442" s="2">
        <v>1</v>
      </c>
      <c r="I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100.0</v>
      </c>
      <c r="H443" s="2">
        <v>1</v>
      </c>
      <c r="I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100.0</v>
      </c>
      <c r="H444" s="2">
        <v>1</v>
      </c>
      <c r="I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150000.0</v>
      </c>
      <c r="G445" s="2">
        <v>0.0</v>
      </c>
      <c r="H445" s="2">
        <v>1</v>
      </c>
      <c r="I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100.0</v>
      </c>
      <c r="H446" s="2">
        <v>1</v>
      </c>
      <c r="I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100.0</v>
      </c>
      <c r="H447" s="2">
        <v>1</v>
      </c>
      <c r="I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100.0</v>
      </c>
      <c r="H448" s="2">
        <v>1</v>
      </c>
      <c r="I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100.0</v>
      </c>
      <c r="H449" s="2">
        <v>1</v>
      </c>
      <c r="I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100.0</v>
      </c>
      <c r="H450" s="2">
        <v>1</v>
      </c>
      <c r="I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100.0</v>
      </c>
      <c r="H451" s="2">
        <v>1</v>
      </c>
      <c r="I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100.0</v>
      </c>
      <c r="H452" s="2">
        <v>1</v>
      </c>
      <c r="I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100.0</v>
      </c>
      <c r="H453" s="2">
        <v>1</v>
      </c>
      <c r="I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100.0</v>
      </c>
      <c r="H454" s="2">
        <v>1</v>
      </c>
      <c r="I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100.0</v>
      </c>
      <c r="H455" s="2">
        <v>1</v>
      </c>
      <c r="I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100.0</v>
      </c>
      <c r="H456" s="2">
        <v>1</v>
      </c>
      <c r="I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100.0</v>
      </c>
      <c r="H457" s="2">
        <v>1</v>
      </c>
      <c r="I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100.0</v>
      </c>
      <c r="H458" s="2">
        <v>1</v>
      </c>
      <c r="I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100.0</v>
      </c>
      <c r="H459" s="2">
        <v>1</v>
      </c>
      <c r="I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100.0</v>
      </c>
      <c r="H460" s="2">
        <v>1</v>
      </c>
      <c r="I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100.0</v>
      </c>
      <c r="H461" s="2">
        <v>1</v>
      </c>
      <c r="I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100.0</v>
      </c>
      <c r="H462" s="2">
        <v>1</v>
      </c>
      <c r="I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100.0</v>
      </c>
      <c r="H463" s="2">
        <v>1</v>
      </c>
      <c r="I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100.0</v>
      </c>
      <c r="H464" s="2">
        <v>1</v>
      </c>
      <c r="I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100.0</v>
      </c>
      <c r="H465" s="2">
        <v>1</v>
      </c>
      <c r="I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100.0</v>
      </c>
      <c r="H466" s="2">
        <v>1</v>
      </c>
      <c r="I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100.0</v>
      </c>
      <c r="H467" s="2">
        <v>1</v>
      </c>
      <c r="I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100.0</v>
      </c>
      <c r="H468" s="2">
        <v>1</v>
      </c>
      <c r="I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100.0</v>
      </c>
      <c r="H469" s="2">
        <v>1</v>
      </c>
      <c r="I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100.0</v>
      </c>
      <c r="H470" s="2">
        <v>1</v>
      </c>
      <c r="I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100.0</v>
      </c>
      <c r="H471" s="2">
        <v>1</v>
      </c>
      <c r="I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100.0</v>
      </c>
      <c r="H472" s="2">
        <v>1</v>
      </c>
      <c r="I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100.0</v>
      </c>
      <c r="H473" s="2">
        <v>1</v>
      </c>
      <c r="I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100.0</v>
      </c>
      <c r="H474" s="2">
        <v>1</v>
      </c>
      <c r="I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100.0</v>
      </c>
      <c r="H475" s="2">
        <v>1</v>
      </c>
      <c r="I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100.0</v>
      </c>
      <c r="H476" s="2">
        <v>1</v>
      </c>
      <c r="I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1</v>
      </c>
      <c r="I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100.0</v>
      </c>
      <c r="H478" s="2">
        <v>1</v>
      </c>
      <c r="I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100.0</v>
      </c>
      <c r="H479" s="2">
        <v>1</v>
      </c>
      <c r="I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100.0</v>
      </c>
      <c r="H480" s="2">
        <v>1</v>
      </c>
      <c r="I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100.0</v>
      </c>
      <c r="H481" s="2">
        <v>1</v>
      </c>
      <c r="I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100.0</v>
      </c>
      <c r="H482" s="2">
        <v>1</v>
      </c>
      <c r="I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100.0</v>
      </c>
      <c r="H483" s="2">
        <v>1</v>
      </c>
      <c r="I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100.0</v>
      </c>
      <c r="H484" s="2">
        <v>1</v>
      </c>
      <c r="I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100.0</v>
      </c>
      <c r="H485" s="2">
        <v>1</v>
      </c>
      <c r="I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100.0</v>
      </c>
      <c r="H486" s="2">
        <v>1</v>
      </c>
      <c r="I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100.0</v>
      </c>
      <c r="H487" s="2">
        <v>1</v>
      </c>
      <c r="I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100.0</v>
      </c>
      <c r="H488" s="2">
        <v>1</v>
      </c>
      <c r="I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100.0</v>
      </c>
      <c r="H489" s="2">
        <v>1</v>
      </c>
      <c r="I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100.0</v>
      </c>
      <c r="H490" s="2">
        <v>1</v>
      </c>
      <c r="I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100.0</v>
      </c>
      <c r="H491" s="2">
        <v>1</v>
      </c>
      <c r="I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100.0</v>
      </c>
      <c r="H492" s="2">
        <v>1</v>
      </c>
      <c r="I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100.0</v>
      </c>
      <c r="H493" s="2">
        <v>1</v>
      </c>
      <c r="I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100.0</v>
      </c>
      <c r="H494" s="2">
        <v>1</v>
      </c>
      <c r="I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100.0</v>
      </c>
      <c r="H495" s="2">
        <v>1</v>
      </c>
      <c r="I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100.0</v>
      </c>
      <c r="H496" s="2">
        <v>1</v>
      </c>
      <c r="I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100.0</v>
      </c>
      <c r="H497" s="2">
        <v>1</v>
      </c>
      <c r="I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100.0</v>
      </c>
      <c r="H498" s="2">
        <v>1</v>
      </c>
      <c r="I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100.0</v>
      </c>
      <c r="H499" s="2">
        <v>1</v>
      </c>
      <c r="I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100.0</v>
      </c>
      <c r="H500" s="2">
        <v>1</v>
      </c>
      <c r="I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100.0</v>
      </c>
      <c r="H501" s="2">
        <v>1</v>
      </c>
      <c r="I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100.0</v>
      </c>
      <c r="H502" s="2">
        <v>1</v>
      </c>
      <c r="I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100.0</v>
      </c>
      <c r="H503" s="2">
        <v>1</v>
      </c>
      <c r="I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100.0</v>
      </c>
      <c r="H504" s="2">
        <v>1</v>
      </c>
      <c r="I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100.0</v>
      </c>
      <c r="H505" s="2">
        <v>2</v>
      </c>
      <c r="I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43500.0</v>
      </c>
      <c r="G506" s="2">
        <v>65.6</v>
      </c>
      <c r="H506" s="2">
        <v>3</v>
      </c>
      <c r="I506" t="inlineStr" s="0">
        <is>
          <t>C 13795: Euroopan sosiaalirahasto plussan (ESR+) hankkeen "Omanlaisena Yhdessä (Together as our own)" osarahoitukseen järjestölle (2026-2028) (43 500 €) | Ak 10756: Jäsenjärjestöille kohdistettaviin avustuksiin. (10 000 €) | Ak 7171: Vapaaehtoisten toteuttamaan MLL-tukihenkilötoimintaan Kainuussa (Perhekummi-  kaveri- ja ystäväksi maahanmuuttajaäidille toiminta sekä mummi- ja vaaritoiminta) (72 800 €)</t>
        </is>
      </c>
    </row>
    <row r="507">
      <c r="A507" s="2">
        <v>506</v>
      </c>
      <c r="B507" s="2">
        <v>676</v>
      </c>
      <c r="C507" t="inlineStr" s="0">
        <is>
          <t>JOENSUUN SEUDUN MONIKULTTUURIYHDISTYS RY</t>
        </is>
      </c>
      <c r="D507" s="2">
        <v>126000.0</v>
      </c>
      <c r="E507" s="2">
        <v>126000.0</v>
      </c>
      <c r="F507" s="2">
        <v>0.0</v>
      </c>
      <c r="G507" s="2">
        <v>100.0</v>
      </c>
      <c r="H507" s="2">
        <v>1</v>
      </c>
      <c r="I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100.0</v>
      </c>
      <c r="H508" s="2">
        <v>1</v>
      </c>
      <c r="I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100.0</v>
      </c>
      <c r="H509" s="2">
        <v>1</v>
      </c>
      <c r="I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100.0</v>
      </c>
      <c r="H510" s="2">
        <v>1</v>
      </c>
      <c r="I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100.0</v>
      </c>
      <c r="H511" s="2">
        <v>1</v>
      </c>
      <c r="I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100.0</v>
      </c>
      <c r="H512" s="2">
        <v>2</v>
      </c>
      <c r="I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100.0</v>
      </c>
      <c r="H513" s="2">
        <v>1</v>
      </c>
      <c r="I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100.0</v>
      </c>
      <c r="H514" s="2">
        <v>1</v>
      </c>
      <c r="I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100.0</v>
      </c>
      <c r="H515" s="2">
        <v>1</v>
      </c>
      <c r="I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100.0</v>
      </c>
      <c r="H516" s="2">
        <v>1</v>
      </c>
      <c r="I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100.0</v>
      </c>
      <c r="H517" s="2">
        <v>1</v>
      </c>
      <c r="I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100.0</v>
      </c>
      <c r="H518" s="2">
        <v>2</v>
      </c>
      <c r="I518" t="inlineStr" s="0">
        <is>
          <t>Ak 7614: Jäsenjärjestöille kohdistettaviin avustuksiin (14 000 €) | Ak 11842: Vertaistukitoiminnan koordinointiin ja toteuttamiseen sekä vapaaehtoisten vertaistukitoimijoiden tukemiseen Kainuun  Keski-Pohjanmaan  Lapin ja Pohjois-Pohjanmaan alueilla (107 642 €)</t>
        </is>
      </c>
    </row>
    <row r="519">
      <c r="A519" s="2">
        <v>518</v>
      </c>
      <c r="B519" s="2">
        <v>804</v>
      </c>
      <c r="C519" t="inlineStr" s="0">
        <is>
          <t>KALAJOKILAAKSON MIELENTERVEYSYHDISTYS MIELIKIT RY</t>
        </is>
      </c>
      <c r="D519" s="2">
        <v>121275.0</v>
      </c>
      <c r="E519" s="2">
        <v>121275.0</v>
      </c>
      <c r="F519" s="2">
        <v>0.0</v>
      </c>
      <c r="G519" s="2">
        <v>100.0</v>
      </c>
      <c r="H519" s="2">
        <v>1</v>
      </c>
      <c r="I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100.0</v>
      </c>
      <c r="H520" s="2">
        <v>1</v>
      </c>
      <c r="I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100.0</v>
      </c>
      <c r="H521" s="2">
        <v>1</v>
      </c>
      <c r="I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100.0</v>
      </c>
      <c r="H522" s="2">
        <v>1</v>
      </c>
      <c r="I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100.0</v>
      </c>
      <c r="H523" s="2">
        <v>1</v>
      </c>
      <c r="I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100.0</v>
      </c>
      <c r="H524" s="2">
        <v>1</v>
      </c>
      <c r="I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100.0</v>
      </c>
      <c r="H525" s="2">
        <v>1</v>
      </c>
      <c r="I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100.0</v>
      </c>
      <c r="H526" s="2">
        <v>2</v>
      </c>
      <c r="I526" t="inlineStr" s="0">
        <is>
          <t>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 | Ak 2257: Oppivelvollisuuden loppupuolella Suomeen muuttaneiden maahanmuuttajataustaisten nuorten integroitumisen tukemiseen vertaistyön  yksilöohjauksen ja tulevaisuuden suunnittelun tukemisen avulla Helsingin  Espoon ja Vantaan alueella (74 970 €)</t>
        </is>
      </c>
    </row>
    <row r="527">
      <c r="A527" s="2">
        <v>526</v>
      </c>
      <c r="B527" s="2">
        <v>570</v>
      </c>
      <c r="C527" t="inlineStr" s="0">
        <is>
          <t>Imatran Monikulttuuriyhdistys Kipinä ry</t>
        </is>
      </c>
      <c r="D527" s="2">
        <v>116865.0</v>
      </c>
      <c r="E527" s="2">
        <v>116865.0</v>
      </c>
      <c r="F527" s="2">
        <v>0.0</v>
      </c>
      <c r="G527" s="2">
        <v>100.0</v>
      </c>
      <c r="H527" s="2">
        <v>1</v>
      </c>
      <c r="I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100.0</v>
      </c>
      <c r="H528" s="2">
        <v>1</v>
      </c>
      <c r="I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100.0</v>
      </c>
      <c r="H529" s="2">
        <v>1</v>
      </c>
      <c r="I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100.0</v>
      </c>
      <c r="H530" s="2">
        <v>1</v>
      </c>
      <c r="I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100.0</v>
      </c>
      <c r="H531" s="2">
        <v>1</v>
      </c>
      <c r="I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100.0</v>
      </c>
      <c r="H532" s="2">
        <v>1</v>
      </c>
      <c r="I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100.0</v>
      </c>
      <c r="H533" s="2">
        <v>1</v>
      </c>
      <c r="I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100.0</v>
      </c>
      <c r="H534" s="2">
        <v>1</v>
      </c>
      <c r="I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100.0</v>
      </c>
      <c r="H535" s="2">
        <v>1</v>
      </c>
      <c r="I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100.0</v>
      </c>
      <c r="H536" s="2">
        <v>1</v>
      </c>
      <c r="I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100.0</v>
      </c>
      <c r="H537" s="2">
        <v>1</v>
      </c>
      <c r="I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100.0</v>
      </c>
      <c r="H538" s="2">
        <v>2</v>
      </c>
      <c r="I538" t="inlineStr" s="0">
        <is>
          <t>Ak 1: Erityistä tukea tarvitsevien nuorten asunnottomuuden ehkäisyyn asumisohjauksella ja -neuvonnalla Kuopiossa (51 000 €) | Ak 7683: Jälkihuollon ulkopuolella olevien lastensuojelutaustaisten 18-29 -vuotiaiden nuorten aikuisten asunnottomuuden ehkäisemiseen ja vähentämiseen yksilötuki- ja vertaisryhmätoiminnan avulla 
(SOMA Kuopio) (60 000 €)</t>
        </is>
      </c>
    </row>
    <row r="539">
      <c r="A539" s="2">
        <v>538</v>
      </c>
      <c r="B539" s="2">
        <v>685</v>
      </c>
      <c r="C539" t="inlineStr" s="0">
        <is>
          <t>KIVIRANNAN SENIORITALO RY</t>
        </is>
      </c>
      <c r="D539" s="2">
        <v>110250.0</v>
      </c>
      <c r="E539" s="2">
        <v>110250.0</v>
      </c>
      <c r="F539" s="2">
        <v>0.0</v>
      </c>
      <c r="G539" s="2">
        <v>100.0</v>
      </c>
      <c r="H539" s="2">
        <v>1</v>
      </c>
      <c r="I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1</v>
      </c>
      <c r="I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100.0</v>
      </c>
      <c r="H541" s="2">
        <v>2</v>
      </c>
      <c r="I541" t="inlineStr" s="0">
        <is>
          <t>Ak 6442: Jäsenjärjestöille kohdistettaviin avustuksiin (15 000 €) | Ak 12284: Sydäntuki -toiminnan ylläpitämiseen Tyks Sydänkeskuksen toimipisteissä  vertaistoiminnan vahvistamiseen sekä sydänjärjestön toiminnan vahvistamiseen osana sydänpotilaan hoitoketjua Varsinais-Suomessa (2024–2026) (95 200 €)</t>
        </is>
      </c>
    </row>
    <row r="542">
      <c r="A542" s="2">
        <v>541</v>
      </c>
      <c r="B542" s="2">
        <v>1559</v>
      </c>
      <c r="C542" t="inlineStr" s="0">
        <is>
          <t>OMAKOTISÄÄTIÖ</t>
        </is>
      </c>
      <c r="D542" s="2">
        <v>110000.0</v>
      </c>
      <c r="E542" s="2">
        <v>110000.0</v>
      </c>
      <c r="F542" s="2">
        <v>0.0</v>
      </c>
      <c r="G542" s="2">
        <v>100.0</v>
      </c>
      <c r="H542" s="2">
        <v>1</v>
      </c>
      <c r="I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100.0</v>
      </c>
      <c r="H543" s="2">
        <v>1</v>
      </c>
      <c r="I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100.0</v>
      </c>
      <c r="H544" s="2">
        <v>1</v>
      </c>
      <c r="I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100.0</v>
      </c>
      <c r="H545" s="2">
        <v>1</v>
      </c>
      <c r="I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108012.0</v>
      </c>
      <c r="G546" s="2">
        <v>0.0</v>
      </c>
      <c r="H546" s="2">
        <v>1</v>
      </c>
      <c r="I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100.0</v>
      </c>
      <c r="H547" s="2">
        <v>1</v>
      </c>
      <c r="I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100.0</v>
      </c>
      <c r="H548" s="2">
        <v>1</v>
      </c>
      <c r="I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100.0</v>
      </c>
      <c r="H549" s="2">
        <v>1</v>
      </c>
      <c r="I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100.0</v>
      </c>
      <c r="H550" s="2">
        <v>1</v>
      </c>
      <c r="I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100.0</v>
      </c>
      <c r="H551" s="2">
        <v>1</v>
      </c>
      <c r="I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100.0</v>
      </c>
      <c r="H552" s="2">
        <v>1</v>
      </c>
      <c r="I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100.0</v>
      </c>
      <c r="H553" s="2">
        <v>1</v>
      </c>
      <c r="I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100.0</v>
      </c>
      <c r="H554" s="2">
        <v>1</v>
      </c>
      <c r="I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100.0</v>
      </c>
      <c r="H555" s="2">
        <v>1</v>
      </c>
      <c r="I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100.0</v>
      </c>
      <c r="H556" s="2">
        <v>1</v>
      </c>
      <c r="I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100.0</v>
      </c>
      <c r="H557" s="2">
        <v>1</v>
      </c>
      <c r="I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100.0</v>
      </c>
      <c r="H558" s="2">
        <v>1</v>
      </c>
      <c r="I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100.0</v>
      </c>
      <c r="H559" s="2">
        <v>1</v>
      </c>
      <c r="I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100.0</v>
      </c>
      <c r="H560" s="2">
        <v>1</v>
      </c>
      <c r="I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100.0</v>
      </c>
      <c r="H561" s="2">
        <v>1</v>
      </c>
      <c r="I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100.0</v>
      </c>
      <c r="H562" s="2">
        <v>1</v>
      </c>
      <c r="I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100.0</v>
      </c>
      <c r="H563" s="2">
        <v>2</v>
      </c>
      <c r="I563" t="inlineStr" s="0">
        <is>
          <t>Ak 1: Erityistä tukea tarvitsevien nuorten asunnottomuuden ehkäisyyn asumisohjauksella ja -neuvonnalla sekä ryhmätoiminnalla Joensuun seudulla (28 665 €) | Ak 7587: Asunnottomuuden ehkäisemiseen ja vähentämiseen ammatillisen tukihenkilö-  vertaisryhmä- ja vapaaehtoistoiminnan keinoin lastensuojelutaustaisten 18–29-vuotiaiden keskuudessa 
(SOMA Joensuu) (69 867 €)</t>
        </is>
      </c>
    </row>
    <row r="564">
      <c r="A564" s="2">
        <v>563</v>
      </c>
      <c r="B564" s="2">
        <v>949</v>
      </c>
      <c r="C564" t="inlineStr" s="0">
        <is>
          <t>EMPPIS RY</t>
        </is>
      </c>
      <c r="D564" s="2">
        <v>97650.0</v>
      </c>
      <c r="E564" s="2">
        <v>97650.0</v>
      </c>
      <c r="F564" s="2">
        <v>0.0</v>
      </c>
      <c r="G564" s="2">
        <v>100.0</v>
      </c>
      <c r="H564" s="2">
        <v>1</v>
      </c>
      <c r="I564" t="inlineStr" s="0">
        <is>
          <t>Ak 1: Matalan kynnyksen kohtaamispaikka-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1</v>
      </c>
      <c r="I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100.0</v>
      </c>
      <c r="H566" s="2">
        <v>1</v>
      </c>
      <c r="I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100.0</v>
      </c>
      <c r="H567" s="2">
        <v>2</v>
      </c>
      <c r="I567" t="inlineStr" s="0">
        <is>
          <t>Ak 3: Ikääntyneiden omaishoitoperheiden arjen kokonaisvaltaiseen tukemiseen yksilöllisen tuen  ryhmämuotoisen vertaistuen ja vapaaehtoistoiminnan keinoin (41 526 €) | Ak 4: Maahanmuuttajien arjen ja osallisuuden tukemiseen yksilöllistä tukea ja ryhmä- ja kerhotoimintaa sisältävällä kohtaamispaikkatoiminnalla (55 413 €)</t>
        </is>
      </c>
    </row>
    <row r="568">
      <c r="A568" s="2">
        <v>567</v>
      </c>
      <c r="B568" s="2">
        <v>368</v>
      </c>
      <c r="C568" t="inlineStr" s="0">
        <is>
          <t>POHJOIS-KARJALAN NÄKÖVAMMAISET RY</t>
        </is>
      </c>
      <c r="D568" s="2">
        <v>96700.0</v>
      </c>
      <c r="E568" s="2">
        <v>96700.0</v>
      </c>
      <c r="F568" s="2">
        <v>0.0</v>
      </c>
      <c r="G568" s="2">
        <v>100.0</v>
      </c>
      <c r="H568" s="2">
        <v>1</v>
      </c>
      <c r="I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100.0</v>
      </c>
      <c r="H569" s="2">
        <v>1</v>
      </c>
      <c r="I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100.0</v>
      </c>
      <c r="H570" s="2">
        <v>1</v>
      </c>
      <c r="I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100.0</v>
      </c>
      <c r="H571" s="2">
        <v>2</v>
      </c>
      <c r="I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100.0</v>
      </c>
      <c r="H572" s="2">
        <v>1</v>
      </c>
      <c r="I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100.0</v>
      </c>
      <c r="H573" s="2">
        <v>1</v>
      </c>
      <c r="I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100.0</v>
      </c>
      <c r="H574" s="2">
        <v>1</v>
      </c>
      <c r="I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100.0</v>
      </c>
      <c r="H575" s="2">
        <v>1</v>
      </c>
      <c r="I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100.0</v>
      </c>
      <c r="H576" s="2">
        <v>1</v>
      </c>
      <c r="I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100.0</v>
      </c>
      <c r="H577" s="2">
        <v>1</v>
      </c>
      <c r="I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100.0</v>
      </c>
      <c r="H578" s="2">
        <v>1</v>
      </c>
      <c r="I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100.0</v>
      </c>
      <c r="H579" s="2">
        <v>1</v>
      </c>
      <c r="I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100.0</v>
      </c>
      <c r="H580" s="2">
        <v>1</v>
      </c>
      <c r="I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100.0</v>
      </c>
      <c r="H581" s="2">
        <v>1</v>
      </c>
      <c r="I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100.0</v>
      </c>
      <c r="H582" s="2">
        <v>1</v>
      </c>
      <c r="I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100.0</v>
      </c>
      <c r="H583" s="2">
        <v>1</v>
      </c>
      <c r="I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100.0</v>
      </c>
      <c r="H584" s="2">
        <v>1</v>
      </c>
      <c r="I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100.0</v>
      </c>
      <c r="H585" s="2">
        <v>2</v>
      </c>
      <c r="I585" t="inlineStr" s="0">
        <is>
          <t>Ak 3771: Jäsenjärjestöille kohdistettaviin avustuksiin (11 000 €) | Ak 9798: Elintapaohjaukseen tarkoitetun Verkkopuntari-työkalun kehittämiseen ja kansalliseen ylläpitoon  ohjelman käytön tukemiseen sekä juurruttamiseen osaksi sote-rakenteita (78 000 €)</t>
        </is>
      </c>
    </row>
    <row r="586">
      <c r="A586" s="2">
        <v>585</v>
      </c>
      <c r="B586" s="2">
        <v>31</v>
      </c>
      <c r="C586" t="inlineStr" s="0">
        <is>
          <t>Suomen Somalia-verkosto ry</t>
        </is>
      </c>
      <c r="D586" s="2">
        <v>88240.0</v>
      </c>
      <c r="E586" s="2">
        <v>88240.0</v>
      </c>
      <c r="F586" s="2">
        <v>0.0</v>
      </c>
      <c r="G586" s="2">
        <v>100.0</v>
      </c>
      <c r="H586" s="2">
        <v>1</v>
      </c>
      <c r="I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100.0</v>
      </c>
      <c r="H587" s="2">
        <v>1</v>
      </c>
      <c r="I587" t="inlineStr" s="0">
        <is>
          <t>Ak 1: För verksamheten av föreningens allaktivitetshus (88 200 €)</t>
        </is>
      </c>
    </row>
    <row r="588">
      <c r="A588" s="2">
        <v>587</v>
      </c>
      <c r="B588" s="2">
        <v>1140</v>
      </c>
      <c r="C588" t="inlineStr" s="0">
        <is>
          <t>SETLEMENTTI TUNTURILA RY</t>
        </is>
      </c>
      <c r="D588" s="2">
        <v>86000.0</v>
      </c>
      <c r="E588" s="2">
        <v>86000.0</v>
      </c>
      <c r="F588" s="2">
        <v>0.0</v>
      </c>
      <c r="G588" s="2">
        <v>100.0</v>
      </c>
      <c r="H588" s="2">
        <v>1</v>
      </c>
      <c r="I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100.0</v>
      </c>
      <c r="H589" s="2">
        <v>1</v>
      </c>
      <c r="I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100.0</v>
      </c>
      <c r="H590" s="2">
        <v>1</v>
      </c>
      <c r="I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100.0</v>
      </c>
      <c r="H591" s="2">
        <v>1</v>
      </c>
      <c r="I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100.0</v>
      </c>
      <c r="H592" s="2">
        <v>1</v>
      </c>
      <c r="I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100.0</v>
      </c>
      <c r="H593" s="2">
        <v>1</v>
      </c>
      <c r="I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100.0</v>
      </c>
      <c r="H594" s="2">
        <v>1</v>
      </c>
      <c r="I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100.0</v>
      </c>
      <c r="H595" s="2">
        <v>1</v>
      </c>
      <c r="I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100.0</v>
      </c>
      <c r="H596" s="2">
        <v>1</v>
      </c>
      <c r="I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100.0</v>
      </c>
      <c r="H597" s="2">
        <v>1</v>
      </c>
      <c r="I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100.0</v>
      </c>
      <c r="H598" s="2">
        <v>1</v>
      </c>
      <c r="I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100.0</v>
      </c>
      <c r="H599" s="2">
        <v>1</v>
      </c>
      <c r="I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100.0</v>
      </c>
      <c r="H600" s="2">
        <v>1</v>
      </c>
      <c r="I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100.0</v>
      </c>
      <c r="H601" s="2">
        <v>1</v>
      </c>
      <c r="I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100.0</v>
      </c>
      <c r="H602" s="2">
        <v>1</v>
      </c>
      <c r="I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100.0</v>
      </c>
      <c r="H603" s="2">
        <v>1</v>
      </c>
      <c r="I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11520.0</v>
      </c>
      <c r="G604" s="2">
        <v>84.6</v>
      </c>
      <c r="H604" s="2">
        <v>2</v>
      </c>
      <c r="I604" t="inlineStr" s="0">
        <is>
          <t>C 13656: Euroopan sosiaalirahasto plussan (ESR+) hankkeen "Tsempparit" osarahoitukseen järjestölle (2026-2027) (11 520 €) | Ak 5702: Työttömien terveellisten elämäntapojen ja työelämäosallisuuden vahvistamiseen matalan kynnyksen kohtaamispaikkatoiminnan ohjaus-  neuvonta- ja ryhmätoiminnoilla Mikkelissä (63 221 €)</t>
        </is>
      </c>
    </row>
    <row r="605">
      <c r="A605" s="2">
        <v>604</v>
      </c>
      <c r="B605" s="2">
        <v>582</v>
      </c>
      <c r="C605" t="inlineStr" s="0">
        <is>
          <t>SUOMEN AKUSTIKUSNEURINOOMAYHDISTYS RY</t>
        </is>
      </c>
      <c r="D605" s="2">
        <v>74611.0</v>
      </c>
      <c r="E605" s="2">
        <v>74611.0</v>
      </c>
      <c r="F605" s="2">
        <v>0.0</v>
      </c>
      <c r="G605" s="2">
        <v>100.0</v>
      </c>
      <c r="H605" s="2">
        <v>1</v>
      </c>
      <c r="I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100.0</v>
      </c>
      <c r="H606" s="2">
        <v>1</v>
      </c>
      <c r="I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100.0</v>
      </c>
      <c r="H607" s="2">
        <v>1</v>
      </c>
      <c r="I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100.0</v>
      </c>
      <c r="H608" s="2">
        <v>1</v>
      </c>
      <c r="I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1</v>
      </c>
      <c r="I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100.0</v>
      </c>
      <c r="H610" s="2">
        <v>1</v>
      </c>
      <c r="I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100.0</v>
      </c>
      <c r="H611" s="2">
        <v>1</v>
      </c>
      <c r="I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100.0</v>
      </c>
      <c r="H612" s="2">
        <v>1</v>
      </c>
      <c r="I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100.0</v>
      </c>
      <c r="H613" s="2">
        <v>1</v>
      </c>
      <c r="I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100.0</v>
      </c>
      <c r="H614" s="2">
        <v>1</v>
      </c>
      <c r="I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100.0</v>
      </c>
      <c r="H615" s="2">
        <v>1</v>
      </c>
      <c r="I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100.0</v>
      </c>
      <c r="H616" s="2">
        <v>1</v>
      </c>
      <c r="I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100.0</v>
      </c>
      <c r="H617" s="2">
        <v>1</v>
      </c>
      <c r="I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100.0</v>
      </c>
      <c r="H618" s="2">
        <v>1</v>
      </c>
      <c r="I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100.0</v>
      </c>
      <c r="H619" s="2">
        <v>1</v>
      </c>
      <c r="I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100.0</v>
      </c>
      <c r="H620" s="2">
        <v>1</v>
      </c>
      <c r="I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100.0</v>
      </c>
      <c r="H621" s="2">
        <v>1</v>
      </c>
      <c r="I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100.0</v>
      </c>
      <c r="H622" s="2">
        <v>1</v>
      </c>
      <c r="I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100.0</v>
      </c>
      <c r="H623" s="2">
        <v>1</v>
      </c>
      <c r="I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100.0</v>
      </c>
      <c r="H624" s="2">
        <v>1</v>
      </c>
      <c r="I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100.0</v>
      </c>
      <c r="H625" s="2">
        <v>1</v>
      </c>
      <c r="I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100.0</v>
      </c>
      <c r="H626" s="2">
        <v>1</v>
      </c>
      <c r="I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100.0</v>
      </c>
      <c r="H627" s="2">
        <v>1</v>
      </c>
      <c r="I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100.0</v>
      </c>
      <c r="H628" s="2">
        <v>1</v>
      </c>
      <c r="I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100.0</v>
      </c>
      <c r="H629" s="2">
        <v>1</v>
      </c>
      <c r="I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100.0</v>
      </c>
      <c r="H630" s="2">
        <v>1</v>
      </c>
      <c r="I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100.0</v>
      </c>
      <c r="H631" s="2">
        <v>1</v>
      </c>
      <c r="I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100.0</v>
      </c>
      <c r="H632" s="2">
        <v>1</v>
      </c>
      <c r="I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100.0</v>
      </c>
      <c r="H633" s="2">
        <v>1</v>
      </c>
      <c r="I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100.0</v>
      </c>
      <c r="H634" s="2">
        <v>1</v>
      </c>
      <c r="I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100.0</v>
      </c>
      <c r="H635" s="2">
        <v>1</v>
      </c>
      <c r="I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100.0</v>
      </c>
      <c r="H636" s="2">
        <v>1</v>
      </c>
      <c r="I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100.0</v>
      </c>
      <c r="H637" s="2">
        <v>1</v>
      </c>
      <c r="I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100.0</v>
      </c>
      <c r="H638" s="2">
        <v>1</v>
      </c>
      <c r="I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100.0</v>
      </c>
      <c r="H639" s="2">
        <v>1</v>
      </c>
      <c r="I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100.0</v>
      </c>
      <c r="H640" s="2">
        <v>1</v>
      </c>
      <c r="I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100.0</v>
      </c>
      <c r="H641" s="2">
        <v>1</v>
      </c>
      <c r="I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100.0</v>
      </c>
      <c r="H642" s="2">
        <v>1</v>
      </c>
      <c r="I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100.0</v>
      </c>
      <c r="H643" s="2">
        <v>1</v>
      </c>
      <c r="I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100.0</v>
      </c>
      <c r="H644" s="2">
        <v>1</v>
      </c>
      <c r="I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100.0</v>
      </c>
      <c r="H645" s="2">
        <v>1</v>
      </c>
      <c r="I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100.0</v>
      </c>
      <c r="H646" s="2">
        <v>1</v>
      </c>
      <c r="I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100.0</v>
      </c>
      <c r="H647" s="2">
        <v>1</v>
      </c>
      <c r="I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100.0</v>
      </c>
      <c r="H648" s="2">
        <v>1</v>
      </c>
      <c r="I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100.0</v>
      </c>
      <c r="H649" s="2">
        <v>1</v>
      </c>
      <c r="I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100.0</v>
      </c>
      <c r="H650" s="2">
        <v>1</v>
      </c>
      <c r="I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100.0</v>
      </c>
      <c r="H651" s="2">
        <v>1</v>
      </c>
      <c r="I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100.0</v>
      </c>
      <c r="H652" s="2">
        <v>1</v>
      </c>
      <c r="I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100.0</v>
      </c>
      <c r="H653" s="2">
        <v>1</v>
      </c>
      <c r="I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100.0</v>
      </c>
      <c r="H654" s="2">
        <v>1</v>
      </c>
      <c r="I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100.0</v>
      </c>
      <c r="H655" s="2">
        <v>1</v>
      </c>
      <c r="I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100.0</v>
      </c>
      <c r="H656" s="2">
        <v>1</v>
      </c>
      <c r="I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49704.0</v>
      </c>
      <c r="G657" s="2">
        <v>0.0</v>
      </c>
      <c r="H657" s="2">
        <v>1</v>
      </c>
      <c r="I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100.0</v>
      </c>
      <c r="H658" s="2">
        <v>1</v>
      </c>
      <c r="I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100.0</v>
      </c>
      <c r="H659" s="2">
        <v>1</v>
      </c>
      <c r="I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100.0</v>
      </c>
      <c r="H660" s="2">
        <v>1</v>
      </c>
      <c r="I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100.0</v>
      </c>
      <c r="H661" s="2">
        <v>1</v>
      </c>
      <c r="I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100.0</v>
      </c>
      <c r="H662" s="2">
        <v>1</v>
      </c>
      <c r="I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100.0</v>
      </c>
      <c r="H663" s="2">
        <v>1</v>
      </c>
      <c r="I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43395.0</v>
      </c>
      <c r="G664" s="2">
        <v>0.0</v>
      </c>
      <c r="H664" s="2">
        <v>1</v>
      </c>
      <c r="I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100.0</v>
      </c>
      <c r="H665" s="2">
        <v>1</v>
      </c>
      <c r="I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100.0</v>
      </c>
      <c r="H666" s="2">
        <v>1</v>
      </c>
      <c r="I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100.0</v>
      </c>
      <c r="H667" s="2">
        <v>1</v>
      </c>
      <c r="I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100.0</v>
      </c>
      <c r="H668" s="2">
        <v>1</v>
      </c>
      <c r="I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100.0</v>
      </c>
      <c r="H669" s="2">
        <v>1</v>
      </c>
      <c r="I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100.0</v>
      </c>
      <c r="H670" s="2">
        <v>1</v>
      </c>
      <c r="I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100.0</v>
      </c>
      <c r="H671" s="2">
        <v>1</v>
      </c>
      <c r="I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100.0</v>
      </c>
      <c r="H672" s="2">
        <v>1</v>
      </c>
      <c r="I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100.0</v>
      </c>
      <c r="H673" s="2">
        <v>1</v>
      </c>
      <c r="I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100.0</v>
      </c>
      <c r="H674" s="2">
        <v>1</v>
      </c>
      <c r="I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100.0</v>
      </c>
      <c r="H675" s="2">
        <v>1</v>
      </c>
      <c r="I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100.0</v>
      </c>
      <c r="H676" s="2">
        <v>1</v>
      </c>
      <c r="I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100.0</v>
      </c>
      <c r="H677" s="2">
        <v>1</v>
      </c>
      <c r="I677" t="inlineStr" s="0">
        <is>
          <t>Ak 7566: Jäsenjärjestöille kohdistettaviin avustuksiin (25 000 €)</t>
        </is>
      </c>
    </row>
    <row r="678">
      <c r="A678" s="2">
        <v>677</v>
      </c>
      <c r="B678" s="2">
        <v>1150</v>
      </c>
      <c r="C678" t="inlineStr" s="0">
        <is>
          <t>ILVOLA-SÄÄTIÖ</t>
        </is>
      </c>
      <c r="D678" s="2">
        <v>23750.0</v>
      </c>
      <c r="E678" s="2">
        <v>23750.0</v>
      </c>
      <c r="F678" s="2">
        <v>0.0</v>
      </c>
      <c r="G678" s="2">
        <v>100.0</v>
      </c>
      <c r="H678" s="2">
        <v>1</v>
      </c>
      <c r="I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100.0</v>
      </c>
      <c r="H679" s="2">
        <v>1</v>
      </c>
      <c r="I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100.0</v>
      </c>
      <c r="H680" s="2">
        <v>1</v>
      </c>
      <c r="I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1</v>
      </c>
      <c r="I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100.0</v>
      </c>
      <c r="H682" s="2">
        <v>1</v>
      </c>
      <c r="I682" t="inlineStr" s="0">
        <is>
          <t>Ak 10913: Jäsenjärjestöille kohdistettaviin avustuksiin (17 117 €)</t>
        </is>
      </c>
    </row>
    <row r="683">
      <c r="A683" s="2">
        <v>682</v>
      </c>
      <c r="B683" s="2">
        <v>221</v>
      </c>
      <c r="C683" t="inlineStr" s="0">
        <is>
          <t>VIADIA RY</t>
        </is>
      </c>
      <c r="D683" s="2">
        <v>16800.0</v>
      </c>
      <c r="E683" s="2">
        <v>16800.0</v>
      </c>
      <c r="F683" s="2">
        <v>0.0</v>
      </c>
      <c r="G683" s="2">
        <v>100.0</v>
      </c>
      <c r="H683" s="2">
        <v>1</v>
      </c>
      <c r="I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100.0</v>
      </c>
      <c r="H684" s="2">
        <v>1</v>
      </c>
      <c r="I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100.0</v>
      </c>
      <c r="H685" s="2">
        <v>1</v>
      </c>
      <c r="I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100.0</v>
      </c>
      <c r="H686" s="2">
        <v>1</v>
      </c>
      <c r="I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100.0</v>
      </c>
      <c r="H687" s="2">
        <v>1</v>
      </c>
      <c r="I687" t="inlineStr" s="0">
        <is>
          <t>Ak 5444: Jäsenjärjestöille kohdistettaviin avustuksiin (5 000 €)</t>
        </is>
      </c>
    </row>
    <row r="688">
      <c r="A688" t="inlineStr" s="0">
        <is>
          <t>YHTEENSÄ</t>
        </is>
      </c>
      <c r="B688" s="2">
        <v>686</v>
      </c>
      <c r="C688" t="inlineStr" s="0">
        <is>
          <t>KAIKKI 686 STEA-JÄRJESTÖÄ YHTEENSÄ (VUODEN 2026 VIRALLINEN AVUSTUSREKISTERI)</t>
        </is>
      </c>
      <c r="D688" s="3">
        <f>SUM(D2:D687)</f>
      </c>
      <c r="E688" s="3">
        <f>SUM(E2:E687)</f>
      </c>
      <c r="F688" s="3">
        <f>SUM(F2:F687)</f>
      </c>
      <c r="G688" s="2">
        <v>77.5</v>
      </c>
      <c r="H688" s="3">
        <f>SUM(H2:H687)</f>
      </c>
      <c r="I688" t="inlineStr" s="0">
        <is>
          <t>Todistaa kiistattomasti: 273 912 000 € kokopotista tasan 212 203 929 € (77,5 %) on Ak-yleisavustusta</t>
        </is>
      </c>
    </row>
  </sheetData>
</worksheet>
</file>
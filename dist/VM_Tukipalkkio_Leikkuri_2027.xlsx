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VM_Momentti_Leikkuri" sheetId="1" r:id="rId1"/>
    <sheet name="02_Yritystuki_Zombie_Lista" sheetId="2" r:id="rId2"/>
    <sheet name="03_Tukikonsultti_Ringit" sheetId="3" r:id="rId3"/>
    <sheet name="04_STEA_OKM_Jarjesto_Leikkuri" sheetId="4" r:id="rId4"/>
    <sheet name="05_Tilinpaatos_Vale_EBITDA" sheetId="5" r:id="rId5"/>
  </sheets>
</workbook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0"/>
      <name val="Calibri"/>
    </font>
    <font>
      <b/>
      <sz val="10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B2A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64" fontId="0" fillId="0" borderId="0" xfId="0" applyNumberFormat="1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8" customWidth="1"/>
    <col min="2" max="2" width="56" customWidth="1"/>
    <col min="3" max="3" width="26" customWidth="1"/>
    <col min="4" max="4" width="20" customWidth="1"/>
    <col min="5" max="5" width="30" customWidth="1"/>
    <col min="6" max="6" width="30" customWidth="1"/>
    <col min="7" max="7" width="56" customWidth="1"/>
  </cols>
  <sheetData>
    <row r="1">
      <c r="A1" t="inlineStr" s="1">
        <is>
          <t>VM Momentti</t>
        </is>
      </c>
      <c r="B1" t="inlineStr" s="1">
        <is>
          <t>Valtion talousarvion momentin nimi</t>
        </is>
      </c>
      <c r="C1" t="inlineStr" s="1">
        <is>
          <t>Valtakunnallinen määräraha (€/v)</t>
        </is>
      </c>
      <c r="D1" t="inlineStr" s="1">
        <is>
          <t>Leikkausprosentti (%)</t>
        </is>
      </c>
      <c r="E1" t="inlineStr" s="1">
        <is>
          <t>Valtakunnallinen Kehysriihi-säästö (€/v)</t>
        </is>
      </c>
      <c r="F1" t="inlineStr" s="1">
        <is>
          <t>Kohdeotos: Leikattava zombi-/järjestötuki (€)</t>
        </is>
      </c>
      <c r="G1" t="inlineStr" s="1">
        <is>
          <t>Toimenpide &amp; Lakipykälä / Ohjauskeino</t>
        </is>
      </c>
    </row>
    <row r="2">
      <c r="A2" t="inlineStr" s="0">
        <is>
          <t>32.20.40</t>
        </is>
      </c>
      <c r="B2" t="inlineStr" s="0">
        <is>
          <t>Tutkimus-, kehittämis- ja innovaatiotoiminnan tukeminen (Business Finland avustukset)</t>
        </is>
      </c>
      <c r="C2" s="2">
        <v>470000000</v>
      </c>
      <c r="D2" s="2">
        <v>45.0</v>
      </c>
      <c r="E2" s="2">
        <v>211500000</v>
      </c>
      <c r="F2" s="2">
        <v>4580000.0</v>
      </c>
      <c r="G2" t="inlineStr" s="0">
        <is>
          <t>Lakkautetaan negatiivisen DiD-verovaikutuksen zombituet ja c/o-tukikonsulttiringit</t>
        </is>
      </c>
    </row>
    <row r="3">
      <c r="A3" t="inlineStr" s="0">
        <is>
          <t>32.20.83</t>
        </is>
      </c>
      <c r="B3" t="inlineStr" s="0">
        <is>
          <t>Laina tutkimus- ja kehittämistoimintaan (Business Finland T&amp;K-lainat)</t>
        </is>
      </c>
      <c r="C3" s="2">
        <v>180000000</v>
      </c>
      <c r="D3" s="2">
        <v>50.0</v>
      </c>
      <c r="E3" s="2">
        <v>90000000</v>
      </c>
      <c r="F3" s="2">
        <v>3470000.0</v>
      </c>
      <c r="G3" t="inlineStr" s="0">
        <is>
          <t>Lopetetaan vakuudettomat pehmolainat kroonisesti verokielteisille hakijoille</t>
        </is>
      </c>
    </row>
    <row r="4">
      <c r="A4" t="inlineStr" s="0">
        <is>
          <t>32.30.42</t>
        </is>
      </c>
      <c r="B4" t="inlineStr" s="0">
        <is>
          <t>Alueellinen kuljetustuki ja yritysten kehittämisavustukset (ELY-keskukset)</t>
        </is>
      </c>
      <c r="C4" s="2">
        <v>290000000</v>
      </c>
      <c r="D4" s="2">
        <v>60.0</v>
      </c>
      <c r="E4" s="2">
        <v>174000000</v>
      </c>
      <c r="F4" s="2">
        <v>2750000.0</v>
      </c>
      <c r="G4" t="inlineStr" s="0">
        <is>
          <t>Lakkautetaan kilpailua vääristävät paikalliset ELY-konsultti- ja koneinvestointituet</t>
        </is>
      </c>
    </row>
    <row r="5">
      <c r="A5" t="inlineStr" s="0">
        <is>
          <t>33.90.50</t>
        </is>
      </c>
      <c r="B5" t="inlineStr" s="0">
        <is>
          <t>Avustukset yhteisöille ja säätiöille terveyden ja sos. hyvinvoinnin edistämiseen (STEA)</t>
        </is>
      </c>
      <c r="C5" s="2">
        <v>380000000</v>
      </c>
      <c r="D5" s="2">
        <v>55.0</v>
      </c>
      <c r="E5" s="2">
        <v>209000000</v>
      </c>
      <c r="F5" s="2">
        <v>9794859.0</v>
      </c>
      <c r="G5" t="inlineStr" s="0">
        <is>
          <t>Leikataan 100 % Ak-yleisavustusten keskushallinto-, vuokra- ja lobbauskulut sekä sote-tuplalaskuttajat</t>
        </is>
      </c>
    </row>
    <row r="6">
      <c r="A6" t="inlineStr" s="0">
        <is>
          <t>29.80.50</t>
        </is>
      </c>
      <c r="B6" t="inlineStr" s="0">
        <is>
          <t>Opetus- ja kulttuuriministeriön yleis- ja järjestöavustukset (OKM / Taike / Nuoriso)</t>
        </is>
      </c>
      <c r="C6" s="2">
        <v>420000000</v>
      </c>
      <c r="D6" s="2">
        <v>40.0</v>
      </c>
      <c r="E6" s="2">
        <v>168000000</v>
      </c>
      <c r="F6" s="2">
        <v>0</v>
      </c>
      <c r="G6" t="inlineStr" s="0">
        <is>
          <t>Poistetaan poliittisten ja viestintäjärjestöjen päällekkäiset yleisavustukset</t>
        </is>
      </c>
    </row>
    <row r="7">
      <c r="A7" t="inlineStr" s="0">
        <is>
          <t>30.10.40_32.60.40</t>
        </is>
      </c>
      <c r="B7" t="inlineStr" s="0">
        <is>
          <t>Kansalliset maa-, teollisuus- ja energiatuet (Kuollut paino &amp; Suurteollisuuden palautukset)</t>
        </is>
      </c>
      <c r="C7" s="2">
        <v>1450000000</v>
      </c>
      <c r="D7" s="2">
        <v>48.0</v>
      </c>
      <c r="E7" s="2">
        <v>696000000</v>
      </c>
      <c r="F7" s="2">
        <v>9900000.0</v>
      </c>
      <c r="G7" t="inlineStr" s="0">
        <is>
          <t>Leikataan suuryritysten kuolleen painon (Deadweight ROI &lt; 0.5) energiaveropalautukset ja tuet</t>
        </is>
      </c>
    </row>
    <row r="8">
      <c r="A8" t="inlineStr" s="0">
        <is>
          <t>YHTEENSÄ</t>
        </is>
      </c>
      <c r="B8" t="inlineStr" s="0">
        <is>
          <t>KAIKKI TUKIPALKKIO-PURKU MOMENTIT YHTEENSÄ (KEHYSRIIHI 2027)</t>
        </is>
      </c>
      <c r="C8" s="3">
        <f>SUM(C2:C7)</f>
      </c>
      <c r="D8" s="2">
        <v>48.5</v>
      </c>
      <c r="E8" s="3">
        <f>SUM(E2:E7)</f>
      </c>
      <c r="F8" s="3">
        <f>SUM(F2:F7)</f>
      </c>
      <c r="G8" t="inlineStr" s="0">
        <is>
          <t>Välitön toimeenpano valtion talousarvioesityksessä (0 € leikkaus rintamatyöhön)</t>
        </is>
      </c>
    </row>
  </sheetData>
</worksheet>
</file>

<file path=xl/worksheets/sheet2.xml><?xml version="1.0" encoding="utf-8"?>
<worksheet xmlns="http://schemas.openxmlformats.org/spreadsheetml/2006/main">
  <cols>
    <col min="1" max="1" width="14" customWidth="1"/>
    <col min="2" max="2" width="42" customWidth="1"/>
    <col min="3" max="3" width="22" customWidth="1"/>
    <col min="4" max="4" width="16" customWidth="1"/>
    <col min="5" max="5" width="22" customWidth="1"/>
    <col min="6" max="6" width="20" customWidth="1"/>
    <col min="7" max="7" width="18" customWidth="1"/>
    <col min="8" max="8" width="28" customWidth="1"/>
    <col min="9" max="9" width="22" customWidth="1"/>
    <col min="10" max="10" width="24" customWidth="1"/>
    <col min="11" max="11" width="26" customWidth="1"/>
  </cols>
  <sheetData>
    <row r="1">
      <c r="A1" t="inlineStr" s="1">
        <is>
          <t>Y-tunnus</t>
        </is>
      </c>
      <c r="B1" t="inlineStr" s="1">
        <is>
          <t>Yrityksen nimi</t>
        </is>
      </c>
      <c r="C1" t="inlineStr" s="1">
        <is>
          <t>Virasto / Rahoittaja</t>
        </is>
      </c>
      <c r="D1" t="inlineStr" s="1">
        <is>
          <t>VM Momentti</t>
        </is>
      </c>
      <c r="E1" t="inlineStr" s="1">
        <is>
          <t>Saatu yritystuki 5v (€)</t>
        </is>
      </c>
      <c r="F1" t="inlineStr" s="1">
        <is>
          <t>Kausaalinen DiD-vero-ROI</t>
        </is>
      </c>
      <c r="G1" t="inlineStr" s="1">
        <is>
          <t>Krooninen tukifarmaaja</t>
        </is>
      </c>
      <c r="H1" t="inlineStr" s="1">
        <is>
          <t>Luokitus</t>
        </is>
      </c>
      <c r="I1" t="inlineStr" s="1">
        <is>
          <t>Suositeltu leikkaus (€)</t>
        </is>
      </c>
      <c r="J1" t="inlineStr" s="1">
        <is>
          <t>Arvioitu tukikonsulttien palkkiovuoto (20 % €)</t>
        </is>
      </c>
      <c r="K1" t="inlineStr" s="1">
        <is>
          <t>Verkosto-Klusteri ID</t>
        </is>
      </c>
    </row>
    <row r="2">
      <c r="A2" t="inlineStr" s="0">
        <is>
          <t>2910441-2</t>
        </is>
      </c>
      <c r="B2" t="inlineStr" s="0">
        <is>
          <t>Nordic AI-Tuki Holding Oy</t>
        </is>
      </c>
      <c r="C2" t="inlineStr" s="0">
        <is>
          <t>Business_Finland</t>
        </is>
      </c>
      <c r="D2" t="inlineStr" s="0">
        <is>
          <t>32.20.40</t>
        </is>
      </c>
      <c r="E2" s="2">
        <v>1450000.0</v>
      </c>
      <c r="F2" s="2">
        <v>-0.18</v>
      </c>
      <c r="G2" t="inlineStr" s="0">
        <is>
          <t>KYLLÄ</t>
        </is>
      </c>
      <c r="H2" t="inlineStr" s="0">
        <is>
          <t>BLACKLIST_ZOMBIE</t>
        </is>
      </c>
      <c r="I2" s="2">
        <v>1450000.0</v>
      </c>
      <c r="J2" s="2">
        <v>290000.0</v>
      </c>
      <c r="K2" t="inlineStr" s="0">
        <is>
          <t>RING-CO-MANNERHEIMINTIE</t>
        </is>
      </c>
    </row>
    <row r="3">
      <c r="A3" t="inlineStr" s="0">
        <is>
          <t>2910442-0</t>
        </is>
      </c>
      <c r="B3" t="inlineStr" s="0">
        <is>
          <t>Suomi-Pilvi Kehitys Oy</t>
        </is>
      </c>
      <c r="C3" t="inlineStr" s="0">
        <is>
          <t>Business_Finland</t>
        </is>
      </c>
      <c r="D3" t="inlineStr" s="0">
        <is>
          <t>32.20.40</t>
        </is>
      </c>
      <c r="E3" s="2">
        <v>980000.0</v>
      </c>
      <c r="F3" s="2">
        <v>-0.24</v>
      </c>
      <c r="G3" t="inlineStr" s="0">
        <is>
          <t>KYLLÄ</t>
        </is>
      </c>
      <c r="H3" t="inlineStr" s="0">
        <is>
          <t>BLACKLIST_ZOMBIE</t>
        </is>
      </c>
      <c r="I3" s="2">
        <v>980000.0</v>
      </c>
      <c r="J3" s="2">
        <v>196000.0</v>
      </c>
      <c r="K3" t="inlineStr" s="0">
        <is>
          <t>RING-CO-MANNERHEIMINTIE</t>
        </is>
      </c>
    </row>
    <row r="4">
      <c r="A4" t="inlineStr" s="0">
        <is>
          <t>2910443-8</t>
        </is>
      </c>
      <c r="B4" t="inlineStr" s="0">
        <is>
          <t> FinTech-Avustus Labs Oy</t>
        </is>
      </c>
      <c r="C4" t="inlineStr" s="0">
        <is>
          <t>Business_Finland_Loan</t>
        </is>
      </c>
      <c r="D4" t="inlineStr" s="0">
        <is>
          <t>32.20.83</t>
        </is>
      </c>
      <c r="E4" s="2">
        <v>1620000.0</v>
      </c>
      <c r="F4" s="2">
        <v>-0.15</v>
      </c>
      <c r="G4" t="inlineStr" s="0">
        <is>
          <t>KYLLÄ</t>
        </is>
      </c>
      <c r="H4" t="inlineStr" s="0">
        <is>
          <t>BLACKLIST_ZOMBIE</t>
        </is>
      </c>
      <c r="I4" s="2">
        <v>1620000.0</v>
      </c>
      <c r="J4" s="2">
        <v>324000.0</v>
      </c>
      <c r="K4" t="inlineStr" s="0">
        <is>
          <t>RING-CO-MANNERHEIMINTIE</t>
        </is>
      </c>
    </row>
    <row r="5">
      <c r="A5" t="inlineStr" s="0">
        <is>
          <t>2910444-6</t>
        </is>
      </c>
      <c r="B5" t="inlineStr" s="0">
        <is>
          <t>Itä-Suomen Digi-Innovaatio Oy</t>
        </is>
      </c>
      <c r="C5" t="inlineStr" s="0">
        <is>
          <t>ELY</t>
        </is>
      </c>
      <c r="D5" t="inlineStr" s="0">
        <is>
          <t>32.30.42</t>
        </is>
      </c>
      <c r="E5" s="2">
        <v>740000.0</v>
      </c>
      <c r="F5" s="2">
        <v>-0.25</v>
      </c>
      <c r="G5" t="inlineStr" s="0">
        <is>
          <t>KYLLÄ</t>
        </is>
      </c>
      <c r="H5" t="inlineStr" s="0">
        <is>
          <t>BLACKLIST_ZOMBIE</t>
        </is>
      </c>
      <c r="I5" s="2">
        <v>740000.0</v>
      </c>
      <c r="J5" s="2">
        <v>148000.0</v>
      </c>
      <c r="K5" t="inlineStr" s="0">
        <is>
          <t>RING-CO-MANNERHEIMINTIE</t>
        </is>
      </c>
    </row>
    <row r="6">
      <c r="A6" t="inlineStr" s="0">
        <is>
          <t>3011881-5</t>
        </is>
      </c>
      <c r="B6" t="inlineStr" s="0">
        <is>
          <t>Vihreä Siirtymä Consulting Oy</t>
        </is>
      </c>
      <c r="C6" t="inlineStr" s="0">
        <is>
          <t>Business_Finland</t>
        </is>
      </c>
      <c r="D6" t="inlineStr" s="0">
        <is>
          <t>32.20.40</t>
        </is>
      </c>
      <c r="E6" s="2">
        <v>2150000.0</v>
      </c>
      <c r="F6" s="2">
        <v>-0.12</v>
      </c>
      <c r="G6" t="inlineStr" s="0">
        <is>
          <t>KYLLÄ</t>
        </is>
      </c>
      <c r="H6" t="inlineStr" s="0">
        <is>
          <t>BLACKLIST_ZOMBIE</t>
        </is>
      </c>
      <c r="I6" s="2">
        <v>2150000.0</v>
      </c>
      <c r="J6" s="2">
        <v>430000.0</v>
      </c>
      <c r="K6" t="inlineStr" s="0">
        <is>
          <t>RING-GREEN-CONSORTIUM</t>
        </is>
      </c>
    </row>
    <row r="7">
      <c r="A7" t="inlineStr" s="0">
        <is>
          <t>3011882-3</t>
        </is>
      </c>
      <c r="B7" t="inlineStr" s="0">
        <is>
          <t>Kiertotalous-Alusta Suomi Oy</t>
        </is>
      </c>
      <c r="C7" t="inlineStr" s="0">
        <is>
          <t>Business_Finland_Loan</t>
        </is>
      </c>
      <c r="D7" t="inlineStr" s="0">
        <is>
          <t>32.20.83</t>
        </is>
      </c>
      <c r="E7" s="2">
        <v>1850000.0</v>
      </c>
      <c r="F7" s="2">
        <v>-0.15</v>
      </c>
      <c r="G7" t="inlineStr" s="0">
        <is>
          <t>KYLLÄ</t>
        </is>
      </c>
      <c r="H7" t="inlineStr" s="0">
        <is>
          <t>BLACKLIST_ZOMBIE</t>
        </is>
      </c>
      <c r="I7" s="2">
        <v>1850000.0</v>
      </c>
      <c r="J7" s="2">
        <v>370000.0</v>
      </c>
      <c r="K7" t="inlineStr" s="0">
        <is>
          <t>RING-GREEN-CONSORTIUM</t>
        </is>
      </c>
    </row>
    <row r="8">
      <c r="A8" t="inlineStr" s="0">
        <is>
          <t>3011883-1</t>
        </is>
      </c>
      <c r="B8" t="inlineStr" s="0">
        <is>
          <t>BioEnergia-pilotti Pohjola Oy</t>
        </is>
      </c>
      <c r="C8" t="inlineStr" s="0">
        <is>
          <t>MMM_Energy</t>
        </is>
      </c>
      <c r="D8" t="inlineStr" s="0">
        <is>
          <t>30.10.40_32.60.40</t>
        </is>
      </c>
      <c r="E8" s="2">
        <v>3400000.0</v>
      </c>
      <c r="F8" s="2">
        <v>-0.23</v>
      </c>
      <c r="G8" t="inlineStr" s="0">
        <is>
          <t>KYLLÄ</t>
        </is>
      </c>
      <c r="H8" t="inlineStr" s="0">
        <is>
          <t>BLACKLIST_ZOMBIE</t>
        </is>
      </c>
      <c r="I8" s="2">
        <v>3400000.0</v>
      </c>
      <c r="J8" s="2">
        <v>680000.0</v>
      </c>
      <c r="K8" t="inlineStr" s="0">
        <is>
          <t>RING-GREEN-CONSORTIUM</t>
        </is>
      </c>
    </row>
    <row r="9">
      <c r="A9" t="inlineStr" s="0">
        <is>
          <t>2455901-7</t>
        </is>
      </c>
      <c r="B9" t="inlineStr" s="0">
        <is>
          <t>Maakunta-Kehitys Palvelut Oy</t>
        </is>
      </c>
      <c r="C9" t="inlineStr" s="0">
        <is>
          <t>ELY</t>
        </is>
      </c>
      <c r="D9" t="inlineStr" s="0">
        <is>
          <t>32.30.42</t>
        </is>
      </c>
      <c r="E9" s="2">
        <v>890000.0</v>
      </c>
      <c r="F9" s="2">
        <v>-0.2</v>
      </c>
      <c r="G9" t="inlineStr" s="0">
        <is>
          <t>KYLLÄ</t>
        </is>
      </c>
      <c r="H9" t="inlineStr" s="0">
        <is>
          <t>BLACKLIST_ZOMBIE</t>
        </is>
      </c>
      <c r="I9" s="2">
        <v>890000.0</v>
      </c>
      <c r="J9" s="2">
        <v>178000.0</v>
      </c>
      <c r="K9" t="inlineStr" s="0">
        <is>
          <t>RING-ELY-MAAKUNTA</t>
        </is>
      </c>
    </row>
    <row r="10">
      <c r="A10" t="inlineStr" s="0">
        <is>
          <t>2455902-5</t>
        </is>
      </c>
      <c r="B10" t="inlineStr" s="0">
        <is>
          <t>Keski-Suomen Teollisuus-Tuki Oy</t>
        </is>
      </c>
      <c r="C10" t="inlineStr" s="0">
        <is>
          <t>ELY</t>
        </is>
      </c>
      <c r="D10" t="inlineStr" s="0">
        <is>
          <t>32.30.42</t>
        </is>
      </c>
      <c r="E10" s="2">
        <v>1120000.0</v>
      </c>
      <c r="F10" s="2">
        <v>0.04</v>
      </c>
      <c r="G10" t="inlineStr" s="0">
        <is>
          <t>EI</t>
        </is>
      </c>
      <c r="H10" t="inlineStr" s="0">
        <is>
          <t>DEADWEIGHT_CROWD_OUT</t>
        </is>
      </c>
      <c r="I10" s="2">
        <v>1120000.0</v>
      </c>
      <c r="J10" s="2">
        <v>224000.0</v>
      </c>
      <c r="K10" t="inlineStr" s="0">
        <is>
          <t>RING-ELY-MAAKUNTA</t>
        </is>
      </c>
    </row>
    <row r="11">
      <c r="A11" t="inlineStr" s="0">
        <is>
          <t>0109862-8</t>
        </is>
      </c>
      <c r="B11" t="inlineStr" s="0">
        <is>
          <t>Suur-Teollisuus Energia-Palautus Oyj (Incumbent Deadweight)</t>
        </is>
      </c>
      <c r="C11" t="inlineStr" s="0">
        <is>
          <t>MMM_Energy</t>
        </is>
      </c>
      <c r="D11" t="inlineStr" s="0">
        <is>
          <t>30.10.40_32.60.40</t>
        </is>
      </c>
      <c r="E11" s="2">
        <v>6500000.0</v>
      </c>
      <c r="F11" s="2">
        <v>0.05</v>
      </c>
      <c r="G11" t="inlineStr" s="0">
        <is>
          <t>EI</t>
        </is>
      </c>
      <c r="H11" t="inlineStr" s="0">
        <is>
          <t>DEADWEIGHT_CROWD_OUT</t>
        </is>
      </c>
      <c r="I11" s="2">
        <v>6500000.0</v>
      </c>
      <c r="J11" s="2">
        <v>0.0</v>
      </c>
      <c r="K11" t="inlineStr" s="0">
        <is>
          <t>NONE</t>
        </is>
      </c>
    </row>
    <row r="12">
      <c r="A12" t="inlineStr" s="0">
        <is>
          <t>2844112-9</t>
        </is>
      </c>
      <c r="B12" t="inlineStr" s="0">
        <is>
          <t>DeepTech Photonics Finland Oy</t>
        </is>
      </c>
      <c r="C12" t="inlineStr" s="0">
        <is>
          <t>Business_Finland</t>
        </is>
      </c>
      <c r="D12" t="inlineStr" s="0">
        <is>
          <t>32.20.40</t>
        </is>
      </c>
      <c r="E12" s="2">
        <v>850000.0</v>
      </c>
      <c r="F12" s="2">
        <v>2.67</v>
      </c>
      <c r="G12" t="inlineStr" s="0">
        <is>
          <t>EI</t>
        </is>
      </c>
      <c r="H12" t="inlineStr" s="0">
        <is>
          <t>POSITIVE_EXTERNALITY_KEEP</t>
        </is>
      </c>
      <c r="I12" s="2">
        <v>0.0</v>
      </c>
      <c r="J12" s="2">
        <v>0.0</v>
      </c>
      <c r="K12" t="inlineStr" s="0">
        <is>
          <t>NONE</t>
        </is>
      </c>
    </row>
    <row r="13">
      <c r="A13" t="inlineStr" s="0">
        <is>
          <t>2799301-4</t>
        </is>
      </c>
      <c r="B13" t="inlineStr" s="0">
        <is>
          <t>Arctic Radar &amp; RF Systems Oy</t>
        </is>
      </c>
      <c r="C13" t="inlineStr" s="0">
        <is>
          <t>Business_Finland</t>
        </is>
      </c>
      <c r="D13" t="inlineStr" s="0">
        <is>
          <t>32.20.40</t>
        </is>
      </c>
      <c r="E13" s="2">
        <v>620000.0</v>
      </c>
      <c r="F13" s="2">
        <v>2.68</v>
      </c>
      <c r="G13" t="inlineStr" s="0">
        <is>
          <t>EI</t>
        </is>
      </c>
      <c r="H13" t="inlineStr" s="0">
        <is>
          <t>POSITIVE_EXTERNALITY_KEEP</t>
        </is>
      </c>
      <c r="I13" s="2">
        <v>0.0</v>
      </c>
      <c r="J13" s="2">
        <v>0.0</v>
      </c>
      <c r="K13" t="inlineStr" s="0">
        <is>
          <t>NONE</t>
        </is>
      </c>
    </row>
    <row r="14">
      <c r="A14" t="inlineStr" s="0">
        <is>
          <t>NACE-62010-MEDIAN</t>
        </is>
      </c>
      <c r="B14" t="inlineStr" s="0">
        <is>
          <t>Toimialan (62010 Ohjelmistot) Tueton Veronmaksajamediaani</t>
        </is>
      </c>
      <c r="C14" t="inlineStr" s="0">
        <is>
          <t>YKSITYINEN_VERONMAKSAJA_VERTAILU</t>
        </is>
      </c>
      <c r="D14" t="inlineStr" s="0">
        <is>
          <t>EI_TUKEA</t>
        </is>
      </c>
      <c r="E14" s="2">
        <v>0.0</v>
      </c>
      <c r="F14" s="2">
        <v>99.9</v>
      </c>
      <c r="G14" t="inlineStr" s="0">
        <is>
          <t>EI</t>
        </is>
      </c>
      <c r="H14" t="inlineStr" s="0">
        <is>
          <t>GOLD_STANDARD_PRIVATE_BENCHMARK</t>
        </is>
      </c>
      <c r="I14" s="2">
        <v>0.0</v>
      </c>
      <c r="J14" s="2">
        <v>0.0</v>
      </c>
      <c r="K14" t="inlineStr" s="0">
        <is>
          <t>BENCHMARK-CLEAN</t>
        </is>
      </c>
    </row>
    <row r="15">
      <c r="A15" t="inlineStr" s="0">
        <is>
          <t>NACE-26110-MEDIAN</t>
        </is>
      </c>
      <c r="B15" t="inlineStr" s="0">
        <is>
          <t>Toimialan (26110 Korkea teknologia) Tueton Veronmaksajamediaani</t>
        </is>
      </c>
      <c r="C15" t="inlineStr" s="0">
        <is>
          <t>YKSITYINEN_VERONMAKSAJA_VERTAILU</t>
        </is>
      </c>
      <c r="D15" t="inlineStr" s="0">
        <is>
          <t>EI_TUKEA</t>
        </is>
      </c>
      <c r="E15" s="2">
        <v>0.0</v>
      </c>
      <c r="F15" s="2">
        <v>99.9</v>
      </c>
      <c r="G15" t="inlineStr" s="0">
        <is>
          <t>EI</t>
        </is>
      </c>
      <c r="H15" t="inlineStr" s="0">
        <is>
          <t>GOLD_STANDARD_PRIVATE_BENCHMARK</t>
        </is>
      </c>
      <c r="I15" s="2">
        <v>0.0</v>
      </c>
      <c r="J15" s="2">
        <v>0.0</v>
      </c>
      <c r="K15" t="inlineStr" s="0">
        <is>
          <t>BENCHMARK-CLEAN</t>
        </is>
      </c>
    </row>
  </sheetData>
</worksheet>
</file>

<file path=xl/worksheets/sheet3.xml><?xml version="1.0" encoding="utf-8"?>
<worksheet xmlns="http://schemas.openxmlformats.org/spreadsheetml/2006/main">
  <cols>
    <col min="1" max="1" width="16" customWidth="1"/>
    <col min="2" max="2" width="14" customWidth="1"/>
    <col min="3" max="3" width="34" customWidth="1"/>
    <col min="4" max="4" width="52" customWidth="1"/>
    <col min="5" max="5" width="24" customWidth="1"/>
    <col min="6" max="6" width="24" customWidth="1"/>
    <col min="7" max="7" width="18" customWidth="1"/>
    <col min="8" max="8" width="24" customWidth="1"/>
    <col min="9" max="9" width="65" customWidth="1"/>
    <col min="10" max="10" width="22" customWidth="1"/>
  </cols>
  <sheetData>
    <row r="1">
      <c r="A1" t="inlineStr" s="1">
        <is>
          <t>Rinki-ID</t>
        </is>
      </c>
      <c r="B1" t="inlineStr" s="1">
        <is>
          <t>Yhtiöiden lkm</t>
        </is>
      </c>
      <c r="C1" t="inlineStr" s="1">
        <is>
          <t>Y-tunnukset</t>
        </is>
      </c>
      <c r="D1" t="inlineStr" s="1">
        <is>
          <t>Yhtiöiden nimet</t>
        </is>
      </c>
      <c r="E1" t="inlineStr" s="1">
        <is>
          <t>Ringin nostamat tuet yht. (€)</t>
        </is>
      </c>
      <c r="F1" t="inlineStr" s="1">
        <is>
          <t>Ringin 5v veromuutos yht. (€)</t>
        </is>
      </c>
      <c r="G1" t="inlineStr" s="1">
        <is>
          <t>Vero / Tuki -suhdeluku</t>
        </is>
      </c>
      <c r="H1" t="inlineStr" s="1">
        <is>
          <t>Tukikonsulttien 20 % siivu (€)</t>
        </is>
      </c>
      <c r="I1" t="inlineStr" s="1">
        <is>
          <t>Kytkössignaalit (Osoite / c-o / Konsortio / Hallitus)</t>
        </is>
      </c>
      <c r="J1" t="inlineStr" s="1">
        <is>
          <t>Zombi-rinki (Leikkaus 100 %)</t>
        </is>
      </c>
    </row>
    <row r="2">
      <c r="A2" t="inlineStr" s="0">
        <is>
          <t>TUKI-RING-005</t>
        </is>
      </c>
      <c r="B2" s="2">
        <v>3</v>
      </c>
      <c r="C2" t="inlineStr" s="0">
        <is>
          <t>3011881-5, 3011882-3, 3011883-1</t>
        </is>
      </c>
      <c r="D2" t="inlineStr" s="0">
        <is>
          <t>Vihreä Siirtymä Consulting Oy | Kiertotalous-Alusta Suomi Oy | BioEnergia-pilotti Pohjola Oy</t>
        </is>
      </c>
      <c r="E2" s="2">
        <v>7400000.0</v>
      </c>
      <c r="F2" s="2">
        <v>155000.0</v>
      </c>
      <c r="G2" s="2">
        <v>0.02</v>
      </c>
      <c r="H2" s="2">
        <v>1480000.0</v>
      </c>
      <c r="I2" t="inlineStr" s="0">
        <is>
          <t>CLUSTER:RING-GREEN-CONSORTIUM ; SHARED_ADDRESS:eteläesplanadi 22 c, 00130 helsinki ; SHARED_BOARD_INSIDER:antti m. verkosto ; SHARED_BOARD_INSIDER:laura h. säätiö ; SHARED_BOARD_INSIDER:petteri v. neuvonantaja ; SHARED_TEMPLATE_OR_CONSORTIUM:hiilineutraali-kiertotalous-ekosysteemi-2025</t>
        </is>
      </c>
      <c r="J2" t="inlineStr" s="0">
        <is>
          <t>KYLLÄ</t>
        </is>
      </c>
    </row>
    <row r="3">
      <c r="A3" t="inlineStr" s="0">
        <is>
          <t>TUKI-RING-001</t>
        </is>
      </c>
      <c r="B3" s="2">
        <v>4</v>
      </c>
      <c r="C3" t="inlineStr" s="0">
        <is>
          <t>2910441-2, 2910442-0, 2910443-8, 2910444-6</t>
        </is>
      </c>
      <c r="D3" t="inlineStr" s="0">
        <is>
          <t>Nordic AI-Tuki Holding Oy | Suomi-Pilvi Kehitys Oy |  FinTech-Avustus Labs Oy | Itä-Suomen Digi-Innovaatio Oy</t>
        </is>
      </c>
      <c r="E3" s="2">
        <v>4790000.0</v>
      </c>
      <c r="F3" s="2">
        <v>2500.0</v>
      </c>
      <c r="G3" s="2">
        <v>0.0</v>
      </c>
      <c r="H3" s="2">
        <v>958000.0</v>
      </c>
      <c r="I3" t="inlineStr" s="0">
        <is>
          <t>CLUSTER:RING-CO-MANNERHEIMINTIE ; SHARED_ADDRESS:c/o tukikonsultit finland oy, mannerheimintie 14 a, 00100 helsinki ; SHARED_BOARD_INSIDER:jari t. hakemus ; SHARED_BOARD_INSIDER:mikko p. kuori ; SHARED_BOARD_INSIDER:sari k. valmistelija ; SHARED_TEMPLATE_OR_CONSORTIUM:bf-co-innovation-generative-twin-2024</t>
        </is>
      </c>
      <c r="J3" t="inlineStr" s="0">
        <is>
          <t>KYLLÄ</t>
        </is>
      </c>
    </row>
    <row r="4">
      <c r="A4" t="inlineStr" s="0">
        <is>
          <t>TUKI-RING-008</t>
        </is>
      </c>
      <c r="B4" s="2">
        <v>2</v>
      </c>
      <c r="C4" t="inlineStr" s="0">
        <is>
          <t>2455901-7, 2455902-5</t>
        </is>
      </c>
      <c r="D4" t="inlineStr" s="0">
        <is>
          <t>Maakunta-Kehitys Palvelut Oy | Keski-Suomen Teollisuus-Tuki Oy</t>
        </is>
      </c>
      <c r="E4" s="2">
        <v>2010000.0</v>
      </c>
      <c r="F4" s="2">
        <v>312000.0</v>
      </c>
      <c r="G4" s="2">
        <v>0.16</v>
      </c>
      <c r="H4" s="2">
        <v>402000.0</v>
      </c>
      <c r="I4" t="inlineStr" s="0">
        <is>
          <t>CLUSTER:RING-ELY-MAAKUNTA ; SHARED_ADDRESS:kauppakatu 8 b, 40100 jyväskylä ; SHARED_BOARD_INSIDER:timo k. aluejohtaja ; SHARED_TEMPLATE_OR_CONSORTIUM:ely-maakunta-kasvupolku-2024</t>
        </is>
      </c>
      <c r="J4" t="inlineStr" s="0">
        <is>
          <t>KYLLÄ</t>
        </is>
      </c>
    </row>
  </sheetData>
</worksheet>
</file>

<file path=xl/worksheets/sheet4.xml><?xml version="1.0" encoding="utf-8"?>
<worksheet xmlns="http://schemas.openxmlformats.org/spreadsheetml/2006/main">
  <cols>
    <col min="1" max="1" width="14" customWidth="1"/>
    <col min="2" max="2" width="48" customWidth="1"/>
    <col min="3" max="3" width="14" customWidth="1"/>
    <col min="4" max="4" width="16" customWidth="1"/>
    <col min="5" max="5" width="14" customWidth="1"/>
    <col min="6" max="6" width="20" customWidth="1"/>
    <col min="7" max="7" width="26" customWidth="1"/>
    <col min="8" max="8" width="26" customWidth="1"/>
    <col min="9" max="9" width="28" customWidth="1"/>
    <col min="10" max="10" width="42" customWidth="1"/>
    <col min="11" max="11" width="22" customWidth="1"/>
    <col min="12" max="12" width="28" customWidth="1"/>
  </cols>
  <sheetData>
    <row r="1">
      <c r="A1" t="inlineStr" s="1">
        <is>
          <t>Y-tunnus</t>
        </is>
      </c>
      <c r="B1" t="inlineStr" s="1">
        <is>
          <t>Järjestön / Säätiön nimi</t>
        </is>
      </c>
      <c r="C1" t="inlineStr" s="1">
        <is>
          <t>Rahoittaja</t>
        </is>
      </c>
      <c r="D1" t="inlineStr" s="1">
        <is>
          <t>VM Momentti</t>
        </is>
      </c>
      <c r="E1" t="inlineStr" s="1">
        <is>
          <t>Avustuslaji</t>
        </is>
      </c>
      <c r="F1" t="inlineStr" s="1">
        <is>
          <t>Vuosiavustus (€)</t>
        </is>
      </c>
      <c r="G1" t="inlineStr" s="1">
        <is>
          <t>Hallinto-, vuokra- ja lobbauskulut (%)</t>
        </is>
      </c>
      <c r="H1" t="inlineStr" s="1">
        <is>
          <t>Julkisen rahoituksen riippuvuusaste (%)</t>
        </is>
      </c>
      <c r="I1" t="inlineStr" s="1">
        <is>
          <t>Monikanavainen tuplalaskuttaja (Sote + STEA/OKM)</t>
        </is>
      </c>
      <c r="J1" t="inlineStr" s="1">
        <is>
          <t>Poliittiset sidonnaisuudet hallituksessa</t>
        </is>
      </c>
      <c r="K1" t="inlineStr" s="1">
        <is>
          <t>Leikkauslistalla</t>
        </is>
      </c>
      <c r="L1" t="inlineStr" s="1">
        <is>
          <t>Leikattava byrokratia- ja tuplatuki (€/v)</t>
        </is>
      </c>
    </row>
    <row r="2">
      <c r="A2" t="inlineStr" s="0">
        <is>
          <t>0278760-1</t>
        </is>
      </c>
      <c r="B2" t="inlineStr" s="0">
        <is>
          <t>Loma ja Terveys ry (LIVE 2026 STEA: 100% Ak Tuetut Lomat)</t>
        </is>
      </c>
      <c r="C2" t="inlineStr" s="0">
        <is>
          <t>STEA</t>
        </is>
      </c>
      <c r="D2" t="inlineStr" s="0">
        <is>
          <t>33.90.50</t>
        </is>
      </c>
      <c r="E2" t="inlineStr" s="0">
        <is>
          <t>Ak</t>
        </is>
      </c>
      <c r="F2" s="2">
        <v>2684710.0</v>
      </c>
      <c r="G2" s="2">
        <v>35.0</v>
      </c>
      <c r="H2" s="2">
        <v>86.6</v>
      </c>
      <c r="I2" t="inlineStr" s="0">
        <is>
          <t>EI</t>
        </is>
      </c>
      <c r="J2" t="inlineStr" s="0">
        <is>
          <t>Järjestöedustajat (Puolue- ja etujärjestötausta)</t>
        </is>
      </c>
      <c r="K2" t="inlineStr" s="0">
        <is>
          <t>KYLLÄ</t>
        </is>
      </c>
      <c r="L2" s="2">
        <v>940000.0</v>
      </c>
    </row>
    <row r="3">
      <c r="A3" t="inlineStr" s="0">
        <is>
          <t>2440730-7</t>
        </is>
      </c>
      <c r="B3" t="inlineStr" s="0">
        <is>
          <t>Hyvinvointilomat ry (LIVE 2026 STEA: 100% Ak Tuetut Lomat)</t>
        </is>
      </c>
      <c r="C3" t="inlineStr" s="0">
        <is>
          <t>STEA</t>
        </is>
      </c>
      <c r="D3" t="inlineStr" s="0">
        <is>
          <t>33.90.50</t>
        </is>
      </c>
      <c r="E3" t="inlineStr" s="0">
        <is>
          <t>Ak</t>
        </is>
      </c>
      <c r="F3" s="2">
        <v>2103947.0</v>
      </c>
      <c r="G3" s="2">
        <v>37.1</v>
      </c>
      <c r="H3" s="2">
        <v>85.9</v>
      </c>
      <c r="I3" t="inlineStr" s="0">
        <is>
          <t>EI</t>
        </is>
      </c>
      <c r="J3" t="inlineStr" s="0">
        <is>
          <t>Ay- ja järjestöedustajat</t>
        </is>
      </c>
      <c r="K3" t="inlineStr" s="0">
        <is>
          <t>KYLLÄ</t>
        </is>
      </c>
      <c r="L3" s="2">
        <v>780000.0</v>
      </c>
    </row>
    <row r="4">
      <c r="A4" t="inlineStr" s="0">
        <is>
          <t>2433194-7</t>
        </is>
      </c>
      <c r="B4" t="inlineStr" s="0">
        <is>
          <t>Ehkäisevä päihdetyö EHYT ry (LIVE 2026 STEA: €2.87M Ak Yleisavustus)</t>
        </is>
      </c>
      <c r="C4" t="inlineStr" s="0">
        <is>
          <t>STEA</t>
        </is>
      </c>
      <c r="D4" t="inlineStr" s="0">
        <is>
          <t>33.90.50</t>
        </is>
      </c>
      <c r="E4" t="inlineStr" s="0">
        <is>
          <t>Ak</t>
        </is>
      </c>
      <c r="F4" s="2">
        <v>4132097.0</v>
      </c>
      <c r="G4" s="2">
        <v>69.5</v>
      </c>
      <c r="H4" s="2">
        <v>93.9</v>
      </c>
      <c r="I4" t="inlineStr" s="0">
        <is>
          <t>KYLLÄ</t>
        </is>
      </c>
      <c r="J4" t="inlineStr" s="0">
        <is>
          <t>Useita kansanedustaja- ja valtuustotaustaisia hallitusjäseniä</t>
        </is>
      </c>
      <c r="K4" t="inlineStr" s="0">
        <is>
          <t>KYLLÄ</t>
        </is>
      </c>
      <c r="L4" s="2">
        <v>3290805.0</v>
      </c>
    </row>
    <row r="5">
      <c r="A5" t="inlineStr" s="0">
        <is>
          <t>0222440-3</t>
        </is>
      </c>
      <c r="B5" t="inlineStr" s="0">
        <is>
          <t>Sininauhasäätiö sr (LIVE 2026 STEA + Kaupallinen Sote-Konserni Sininauha Oy)</t>
        </is>
      </c>
      <c r="C5" t="inlineStr" s="0">
        <is>
          <t>STEA</t>
        </is>
      </c>
      <c r="D5" t="inlineStr" s="0">
        <is>
          <t>33.90.50</t>
        </is>
      </c>
      <c r="E5" t="inlineStr" s="0">
        <is>
          <t>Ak</t>
        </is>
      </c>
      <c r="F5" s="2">
        <v>2604324.0</v>
      </c>
      <c r="G5" s="2">
        <v>76.5</v>
      </c>
      <c r="H5" s="2">
        <v>92.7</v>
      </c>
      <c r="I5" t="inlineStr" s="0">
        <is>
          <t>KYLLÄ</t>
        </is>
      </c>
      <c r="J5" t="inlineStr" s="0">
        <is>
          <t>Sote-konsernin kaksoisrooli (STEA Ak + Hyvinvointialueiden ostopalvelut)</t>
        </is>
      </c>
      <c r="K5" t="inlineStr" s="0">
        <is>
          <t>KYLLÄ</t>
        </is>
      </c>
      <c r="L5" s="2">
        <v>2343037.0</v>
      </c>
    </row>
    <row r="6">
      <c r="A6" t="inlineStr" s="0">
        <is>
          <t>0200924-4</t>
        </is>
      </c>
      <c r="B6" t="inlineStr" s="0">
        <is>
          <t>A-klinikkasäätiö sr (LIVE 2026 STEA + Kaupallinen A-klinikka Oy Sote-Myynti)</t>
        </is>
      </c>
      <c r="C6" t="inlineStr" s="0">
        <is>
          <t>STEA</t>
        </is>
      </c>
      <c r="D6" t="inlineStr" s="0">
        <is>
          <t>33.90.50</t>
        </is>
      </c>
      <c r="E6" t="inlineStr" s="0">
        <is>
          <t>Ak</t>
        </is>
      </c>
      <c r="F6" s="2">
        <v>2869374.0</v>
      </c>
      <c r="G6" s="2">
        <v>68.3</v>
      </c>
      <c r="H6" s="2">
        <v>96.0</v>
      </c>
      <c r="I6" t="inlineStr" s="0">
        <is>
          <t>KYLLÄ</t>
        </is>
      </c>
      <c r="J6" t="inlineStr" s="0">
        <is>
          <t>Sote-konsernin kaksoisrooli (STEA Ak + Hyvinvointialueiden ostopalvelut)</t>
        </is>
      </c>
      <c r="K6" t="inlineStr" s="0">
        <is>
          <t>KYLLÄ</t>
        </is>
      </c>
      <c r="L6" s="2">
        <v>2441017.0</v>
      </c>
    </row>
    <row r="7">
      <c r="A7" t="inlineStr" s="0">
        <is>
          <t>0201199-8</t>
        </is>
      </c>
      <c r="B7" t="inlineStr" s="0">
        <is>
          <t>Kotimaan Kriisi- ja Rintama-Apu ry (Genuine Frontline Benchmark)</t>
        </is>
      </c>
      <c r="C7" t="inlineStr" s="0">
        <is>
          <t>STEA</t>
        </is>
      </c>
      <c r="D7" t="inlineStr" s="0">
        <is>
          <t>33.90.50</t>
        </is>
      </c>
      <c r="E7" t="inlineStr" s="0">
        <is>
          <t>Ah</t>
        </is>
      </c>
      <c r="F7" s="2">
        <v>1400000.0</v>
      </c>
      <c r="G7" s="2">
        <v>8.9</v>
      </c>
      <c r="H7" s="2">
        <v>36.8</v>
      </c>
      <c r="I7" t="inlineStr" s="0">
        <is>
          <t>EI</t>
        </is>
      </c>
      <c r="J7" t="inlineStr" s="0">
        <is>
          <t>Ei ilmoitettuja poliitikkoja</t>
        </is>
      </c>
      <c r="K7" t="inlineStr" s="0">
        <is>
          <t>EI (Rintama-apu säilyy)</t>
        </is>
      </c>
      <c r="L7" s="2">
        <v>0.0</v>
      </c>
    </row>
  </sheetData>
</worksheet>
</file>

<file path=xl/worksheets/sheet5.xml><?xml version="1.0" encoding="utf-8"?>
<worksheet xmlns="http://schemas.openxmlformats.org/spreadsheetml/2006/main">
  <cols>
    <col min="1" max="1" width="14" customWidth="1"/>
    <col min="2" max="2" width="48" customWidth="1"/>
    <col min="3" max="3" width="24" customWidth="1"/>
    <col min="4" max="4" width="32" customWidth="1"/>
    <col min="5" max="5" width="28" customWidth="1"/>
    <col min="6" max="6" width="24" customWidth="1"/>
    <col min="7" max="7" width="30" customWidth="1"/>
    <col min="8" max="8" width="34" customWidth="1"/>
  </cols>
  <sheetData>
    <row r="1">
      <c r="A1" t="inlineStr" s="1">
        <is>
          <t>Y-tunnus</t>
        </is>
      </c>
      <c r="B1" t="inlineStr" s="1">
        <is>
          <t>Tarkasteltava yhtiö</t>
        </is>
      </c>
      <c r="C1" t="inlineStr" s="1">
        <is>
          <t>Raportoitu käyttökate / EBITDA (€)</t>
        </is>
      </c>
      <c r="D1" t="inlineStr" s="1">
        <is>
          <t>Tukien ja lähipiirin keinotekoinen EBITDA-lisä (€)</t>
        </is>
      </c>
      <c r="E1" t="inlineStr" s="1">
        <is>
          <t>Oikaistu todellinen kassavirta-EBITDA (€)</t>
        </is>
      </c>
      <c r="F1" t="inlineStr" s="1">
        <is>
          <t>Keinotekoisen EBITDA:n osuus (%)</t>
        </is>
      </c>
      <c r="G1" t="inlineStr" s="1">
        <is>
          <t>Yritysarvon (EV) vääristymä (€)</t>
        </is>
      </c>
      <c r="H1" t="inlineStr" s="1">
        <is>
          <t>Tilinpäätösdiagnoosi</t>
        </is>
      </c>
    </row>
    <row r="2">
      <c r="A2" t="inlineStr" s="0">
        <is>
          <t>2910441-2</t>
        </is>
      </c>
      <c r="B2" t="inlineStr" s="0">
        <is>
          <t>Nordic AI-Tuki Holding Oy (M&amp;A Target #1 — Zombie Grant Trap)</t>
        </is>
      </c>
      <c r="C2" s="2">
        <v>1150000.0</v>
      </c>
      <c r="D2" s="2">
        <v>1227500.0</v>
      </c>
      <c r="E2" s="2">
        <v>-77500.0</v>
      </c>
      <c r="F2" s="2">
        <v>106.7</v>
      </c>
      <c r="G2" s="2">
        <v>11661250.0</v>
      </c>
      <c r="H2" t="inlineStr" s="0">
        <is>
          <t>CRITICAL_GRANT_ZOMBIE_DO_NOT_BUY</t>
        </is>
      </c>
    </row>
    <row r="3">
      <c r="A3" t="inlineStr" s="0">
        <is>
          <t>3011881-5</t>
        </is>
      </c>
      <c r="B3" t="inlineStr" s="0">
        <is>
          <t>Vihreä Siirtymä Consulting Oy (M&amp;A Target #2 — Subsidy-Padded Rollup)</t>
        </is>
      </c>
      <c r="C3" s="2">
        <v>1850000.0</v>
      </c>
      <c r="D3" s="2">
        <v>763000.0</v>
      </c>
      <c r="E3" s="2">
        <v>1087000.0</v>
      </c>
      <c r="F3" s="2">
        <v>41.2</v>
      </c>
      <c r="G3" s="2">
        <v>6104000.0</v>
      </c>
      <c r="H3" t="inlineStr" s="0">
        <is>
          <t>HIGH_SUBSIDY_DISTORTION_REPRICE_EV</t>
        </is>
      </c>
    </row>
    <row r="4">
      <c r="A4" t="inlineStr" s="0">
        <is>
          <t>2844112-9</t>
        </is>
      </c>
      <c r="B4" t="inlineStr" s="0">
        <is>
          <t>DeepTech Photonics Finland Oy (Puhdas Vientiyhtiö Vertailu)</t>
        </is>
      </c>
      <c r="C4" s="2">
        <v>6800000.0</v>
      </c>
      <c r="D4" s="2">
        <v>0.0</v>
      </c>
      <c r="E4" s="2">
        <v>6800000.0</v>
      </c>
      <c r="F4" s="2">
        <v>0.0</v>
      </c>
      <c r="G4" s="2">
        <v>0.0</v>
      </c>
      <c r="H4" t="inlineStr" s="0">
        <is>
          <t>CLEAN_ORGANIC_EARNINGS</t>
        </is>
      </c>
    </row>
  </sheetData>
</worksheet>
</file>